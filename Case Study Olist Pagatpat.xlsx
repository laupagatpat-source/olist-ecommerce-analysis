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3.xml" ContentType="application/vnd.openxmlformats-officedocument.drawing+xml"/>
  <Override PartName="/xl/charts/chartEx1.xml" ContentType="application/vnd.ms-office.chartex+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4.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7.xml" ContentType="application/vnd.openxmlformats-officedocument.drawing+xml"/>
  <Override PartName="/xl/charts/chartEx2.xml" ContentType="application/vnd.ms-office.chartex+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min\Documents\2024\"/>
    </mc:Choice>
  </mc:AlternateContent>
  <xr:revisionPtr revIDLastSave="0" documentId="13_ncr:2001_{5B2F7A55-A604-495A-B845-564BC90B2C66}" xr6:coauthVersionLast="47" xr6:coauthVersionMax="47" xr10:uidLastSave="{00000000-0000-0000-0000-000000000000}"/>
  <bookViews>
    <workbookView xWindow="-108" yWindow="-108" windowWidth="23256" windowHeight="12456" firstSheet="6" activeTab="16" xr2:uid="{612E8E42-A0DA-4E11-95AC-8EF7A07DD9BA}"/>
  </bookViews>
  <sheets>
    <sheet name="1A" sheetId="1" r:id="rId1"/>
    <sheet name="1B" sheetId="2" r:id="rId2"/>
    <sheet name="1C" sheetId="3" r:id="rId3"/>
    <sheet name="1D" sheetId="4" r:id="rId4"/>
    <sheet name="1E" sheetId="5" r:id="rId5"/>
    <sheet name="Dashboard 1" sheetId="16" r:id="rId6"/>
    <sheet name="2A" sheetId="6" r:id="rId7"/>
    <sheet name="2B" sheetId="7" r:id="rId8"/>
    <sheet name="2C" sheetId="8" r:id="rId9"/>
    <sheet name="2D" sheetId="9" r:id="rId10"/>
    <sheet name="2E" sheetId="10" r:id="rId11"/>
    <sheet name="Dashboard 2" sheetId="17" r:id="rId12"/>
    <sheet name="3A" sheetId="11" r:id="rId13"/>
    <sheet name="3B" sheetId="12" r:id="rId14"/>
    <sheet name="3C" sheetId="13" r:id="rId15"/>
    <sheet name="3D" sheetId="14" r:id="rId16"/>
    <sheet name="Dashboard 3" sheetId="18" r:id="rId17"/>
  </sheets>
  <definedNames>
    <definedName name="_xlchart.v6.0" hidden="1">'3A'!$A$1</definedName>
    <definedName name="_xlchart.v6.1" hidden="1">'3A'!$A$2:$A$28</definedName>
    <definedName name="_xlchart.v6.10" hidden="1">'3A'!$C$1</definedName>
    <definedName name="_xlchart.v6.11" hidden="1">'3A'!$C$2:$C$28</definedName>
    <definedName name="_xlchart.v6.12" hidden="1">'3A'!$A$1</definedName>
    <definedName name="_xlchart.v6.13" hidden="1">'3A'!$A$2:$A$28</definedName>
    <definedName name="_xlchart.v6.14" hidden="1">'3A'!$C$1</definedName>
    <definedName name="_xlchart.v6.15" hidden="1">'3A'!$C$2:$C$28</definedName>
    <definedName name="_xlchart.v6.2" hidden="1">'3A'!$C$1</definedName>
    <definedName name="_xlchart.v6.3" hidden="1">'3A'!$C$2:$C$28</definedName>
    <definedName name="_xlchart.v6.4" hidden="1">'3A'!$A$1</definedName>
    <definedName name="_xlchart.v6.5" hidden="1">'3A'!$A$2:$A$28</definedName>
    <definedName name="_xlchart.v6.6" hidden="1">'3A'!$C$1</definedName>
    <definedName name="_xlchart.v6.7" hidden="1">'3A'!$C$2:$C$28</definedName>
    <definedName name="_xlchart.v6.8" hidden="1">'3A'!$A$1</definedName>
    <definedName name="_xlchart.v6.9" hidden="1">'3A'!$A$2:$A$28</definedName>
    <definedName name="Slicer_Year">#N/A</definedName>
  </definedNames>
  <calcPr calcId="191029"/>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 i="10" l="1"/>
  <c r="D3" i="10"/>
  <c r="D2" i="6"/>
  <c r="D3" i="6"/>
  <c r="D4" i="6"/>
  <c r="D5" i="6"/>
  <c r="D6" i="6"/>
  <c r="D7" i="6"/>
  <c r="D8" i="6"/>
  <c r="D9" i="6"/>
  <c r="D10" i="6"/>
  <c r="D11" i="6"/>
  <c r="D12" i="6"/>
  <c r="D13" i="6"/>
  <c r="D14" i="6"/>
  <c r="D15" i="6"/>
  <c r="D16" i="6"/>
  <c r="D17" i="6"/>
  <c r="D18" i="6"/>
  <c r="D19" i="6"/>
  <c r="D20" i="6"/>
  <c r="D21" i="6"/>
  <c r="D22" i="6"/>
  <c r="D23" i="6"/>
  <c r="D24" i="6"/>
  <c r="F2" i="11" a="1"/>
  <c r="F2" i="11" s="1"/>
  <c r="F3" i="11" a="1"/>
  <c r="F3" i="11" s="1"/>
  <c r="F4" i="11" a="1"/>
  <c r="F4" i="11" s="1"/>
  <c r="F5" i="11" a="1"/>
  <c r="F5" i="11" s="1"/>
  <c r="F6" i="11" a="1"/>
  <c r="F6" i="11" s="1"/>
  <c r="F7" i="11" a="1"/>
  <c r="F7" i="11" s="1"/>
  <c r="F8" i="11" a="1"/>
  <c r="F8" i="11" s="1"/>
  <c r="F9" i="11" a="1"/>
  <c r="F9" i="11" s="1"/>
  <c r="F10" i="11" a="1"/>
  <c r="F10" i="11" s="1"/>
  <c r="F11" i="11" a="1"/>
  <c r="F11" i="11" s="1"/>
  <c r="F12" i="11" a="1"/>
  <c r="F12" i="11" s="1"/>
  <c r="F13" i="11" a="1"/>
  <c r="F13" i="11" s="1"/>
  <c r="F14" i="11" a="1"/>
  <c r="F14" i="11" s="1"/>
  <c r="F15" i="11" a="1"/>
  <c r="F15" i="11" s="1"/>
  <c r="F16" i="11" a="1"/>
  <c r="F16" i="11" s="1"/>
  <c r="F17" i="11" a="1"/>
  <c r="F17" i="11" s="1"/>
  <c r="F18" i="11" a="1"/>
  <c r="F18" i="11" s="1"/>
  <c r="F19" i="11" a="1"/>
  <c r="F19" i="11" s="1"/>
  <c r="F20" i="11" a="1"/>
  <c r="F20" i="11" s="1"/>
  <c r="F21" i="11" a="1"/>
  <c r="F21" i="11" s="1"/>
  <c r="F22" i="11" a="1"/>
  <c r="F22" i="11" s="1"/>
  <c r="F23" i="11" a="1"/>
  <c r="F23" i="11" s="1"/>
  <c r="F24" i="11" a="1"/>
  <c r="F24" i="11" s="1"/>
  <c r="F25" i="11" a="1"/>
  <c r="F25" i="11" s="1"/>
  <c r="F26" i="11" a="1"/>
  <c r="F26" i="11" s="1"/>
  <c r="F27" i="11" a="1"/>
  <c r="F27" i="11" s="1"/>
  <c r="F28" i="11" a="1"/>
  <c r="F28" i="11" s="1"/>
  <c r="B6" i="9"/>
  <c r="B5" i="9"/>
  <c r="B4" i="9"/>
  <c r="B3" i="9"/>
  <c r="B2" i="9"/>
  <c r="B11" i="8"/>
  <c r="B10" i="8"/>
  <c r="B9" i="8"/>
  <c r="B8" i="8"/>
  <c r="B7" i="8"/>
  <c r="B6" i="8"/>
  <c r="B5" i="8"/>
  <c r="B4" i="8"/>
  <c r="B3" i="8"/>
  <c r="B2" i="8"/>
  <c r="B11" i="7"/>
  <c r="B10" i="7"/>
  <c r="B9" i="7"/>
  <c r="B8" i="7"/>
  <c r="B7" i="7"/>
  <c r="B6" i="7"/>
  <c r="B5" i="7"/>
  <c r="B4" i="7"/>
  <c r="B3" i="7"/>
  <c r="B2"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7">
    <bk>
      <extLst>
        <ext uri="{3e2802c4-a4d2-4d8b-9148-e3be6c30e623}">
          <xlrd:rvb i="0"/>
        </ext>
      </extLst>
    </bk>
    <bk>
      <extLst>
        <ext uri="{3e2802c4-a4d2-4d8b-9148-e3be6c30e623}">
          <xlrd:rvb i="14"/>
        </ext>
      </extLst>
    </bk>
    <bk>
      <extLst>
        <ext uri="{3e2802c4-a4d2-4d8b-9148-e3be6c30e623}">
          <xlrd:rvb i="27"/>
        </ext>
      </extLst>
    </bk>
    <bk>
      <extLst>
        <ext uri="{3e2802c4-a4d2-4d8b-9148-e3be6c30e623}">
          <xlrd:rvb i="40"/>
        </ext>
      </extLst>
    </bk>
    <bk>
      <extLst>
        <ext uri="{3e2802c4-a4d2-4d8b-9148-e3be6c30e623}">
          <xlrd:rvb i="53"/>
        </ext>
      </extLst>
    </bk>
    <bk>
      <extLst>
        <ext uri="{3e2802c4-a4d2-4d8b-9148-e3be6c30e623}">
          <xlrd:rvb i="65"/>
        </ext>
      </extLst>
    </bk>
    <bk>
      <extLst>
        <ext uri="{3e2802c4-a4d2-4d8b-9148-e3be6c30e623}">
          <xlrd:rvb i="77"/>
        </ext>
      </extLst>
    </bk>
    <bk>
      <extLst>
        <ext uri="{3e2802c4-a4d2-4d8b-9148-e3be6c30e623}">
          <xlrd:rvb i="89"/>
        </ext>
      </extLst>
    </bk>
    <bk>
      <extLst>
        <ext uri="{3e2802c4-a4d2-4d8b-9148-e3be6c30e623}">
          <xlrd:rvb i="101"/>
        </ext>
      </extLst>
    </bk>
    <bk>
      <extLst>
        <ext uri="{3e2802c4-a4d2-4d8b-9148-e3be6c30e623}">
          <xlrd:rvb i="114"/>
        </ext>
      </extLst>
    </bk>
    <bk>
      <extLst>
        <ext uri="{3e2802c4-a4d2-4d8b-9148-e3be6c30e623}">
          <xlrd:rvb i="126"/>
        </ext>
      </extLst>
    </bk>
    <bk>
      <extLst>
        <ext uri="{3e2802c4-a4d2-4d8b-9148-e3be6c30e623}">
          <xlrd:rvb i="137"/>
        </ext>
      </extLst>
    </bk>
    <bk>
      <extLst>
        <ext uri="{3e2802c4-a4d2-4d8b-9148-e3be6c30e623}">
          <xlrd:rvb i="151"/>
        </ext>
      </extLst>
    </bk>
    <bk>
      <extLst>
        <ext uri="{3e2802c4-a4d2-4d8b-9148-e3be6c30e623}">
          <xlrd:rvb i="164"/>
        </ext>
      </extLst>
    </bk>
    <bk>
      <extLst>
        <ext uri="{3e2802c4-a4d2-4d8b-9148-e3be6c30e623}">
          <xlrd:rvb i="176"/>
        </ext>
      </extLst>
    </bk>
    <bk>
      <extLst>
        <ext uri="{3e2802c4-a4d2-4d8b-9148-e3be6c30e623}">
          <xlrd:rvb i="189"/>
        </ext>
      </extLst>
    </bk>
    <bk>
      <extLst>
        <ext uri="{3e2802c4-a4d2-4d8b-9148-e3be6c30e623}">
          <xlrd:rvb i="201"/>
        </ext>
      </extLst>
    </bk>
    <bk>
      <extLst>
        <ext uri="{3e2802c4-a4d2-4d8b-9148-e3be6c30e623}">
          <xlrd:rvb i="214"/>
        </ext>
      </extLst>
    </bk>
    <bk>
      <extLst>
        <ext uri="{3e2802c4-a4d2-4d8b-9148-e3be6c30e623}">
          <xlrd:rvb i="227"/>
        </ext>
      </extLst>
    </bk>
    <bk>
      <extLst>
        <ext uri="{3e2802c4-a4d2-4d8b-9148-e3be6c30e623}">
          <xlrd:rvb i="239"/>
        </ext>
      </extLst>
    </bk>
    <bk>
      <extLst>
        <ext uri="{3e2802c4-a4d2-4d8b-9148-e3be6c30e623}">
          <xlrd:rvb i="252"/>
        </ext>
      </extLst>
    </bk>
    <bk>
      <extLst>
        <ext uri="{3e2802c4-a4d2-4d8b-9148-e3be6c30e623}">
          <xlrd:rvb i="264"/>
        </ext>
      </extLst>
    </bk>
    <bk>
      <extLst>
        <ext uri="{3e2802c4-a4d2-4d8b-9148-e3be6c30e623}">
          <xlrd:rvb i="276"/>
        </ext>
      </extLst>
    </bk>
    <bk>
      <extLst>
        <ext uri="{3e2802c4-a4d2-4d8b-9148-e3be6c30e623}">
          <xlrd:rvb i="289"/>
        </ext>
      </extLst>
    </bk>
    <bk>
      <extLst>
        <ext uri="{3e2802c4-a4d2-4d8b-9148-e3be6c30e623}">
          <xlrd:rvb i="301"/>
        </ext>
      </extLst>
    </bk>
    <bk>
      <extLst>
        <ext uri="{3e2802c4-a4d2-4d8b-9148-e3be6c30e623}">
          <xlrd:rvb i="313"/>
        </ext>
      </extLst>
    </bk>
    <bk>
      <extLst>
        <ext uri="{3e2802c4-a4d2-4d8b-9148-e3be6c30e623}">
          <xlrd:rvb i="325"/>
        </ext>
      </extLst>
    </bk>
  </futureMetadata>
  <futureMetadata name="XLDAPR" count="1">
    <bk>
      <extLst>
        <ext uri="{bdbb8cdc-fa1e-496e-a857-3c3f30c029c3}">
          <xda:dynamicArrayProperties fDynamic="1" fCollapsed="0"/>
        </ext>
      </extLst>
    </bk>
  </futureMetadata>
  <cellMetadata count="1">
    <bk>
      <rc t="2" v="0"/>
    </bk>
  </cellMetadata>
  <valueMetadata count="2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valueMetadata>
</metadata>
</file>

<file path=xl/sharedStrings.xml><?xml version="1.0" encoding="utf-8"?>
<sst xmlns="http://schemas.openxmlformats.org/spreadsheetml/2006/main" count="183" uniqueCount="135">
  <si>
    <t>Hour of Day</t>
  </si>
  <si>
    <t>Total Orders</t>
  </si>
  <si>
    <t>Sunday</t>
  </si>
  <si>
    <t>Monday</t>
  </si>
  <si>
    <t>Tuesday</t>
  </si>
  <si>
    <t>Wednesday</t>
  </si>
  <si>
    <t>Thursday</t>
  </si>
  <si>
    <t>Friday</t>
  </si>
  <si>
    <t>Saturday</t>
  </si>
  <si>
    <t>Day of Week</t>
  </si>
  <si>
    <t>Day Number</t>
  </si>
  <si>
    <t>SP</t>
  </si>
  <si>
    <t>RJ</t>
  </si>
  <si>
    <t>MG</t>
  </si>
  <si>
    <t>RS</t>
  </si>
  <si>
    <t>PR</t>
  </si>
  <si>
    <t>SC</t>
  </si>
  <si>
    <t>BA</t>
  </si>
  <si>
    <t>DF</t>
  </si>
  <si>
    <t>GO</t>
  </si>
  <si>
    <t>ES</t>
  </si>
  <si>
    <t>Customer State</t>
  </si>
  <si>
    <t>Unique Customers</t>
  </si>
  <si>
    <t>Avg Order Value</t>
  </si>
  <si>
    <t>Review Score</t>
  </si>
  <si>
    <t>Avg Delivery Days</t>
  </si>
  <si>
    <t>One-Time Buyer</t>
  </si>
  <si>
    <t>Occasional Buyer</t>
  </si>
  <si>
    <t>Frequent Buyer</t>
  </si>
  <si>
    <t>Purchase Frequency</t>
  </si>
  <si>
    <t>Number of Customers</t>
  </si>
  <si>
    <t>Percentage</t>
  </si>
  <si>
    <t>September</t>
  </si>
  <si>
    <t>October</t>
  </si>
  <si>
    <t>December</t>
  </si>
  <si>
    <t>January</t>
  </si>
  <si>
    <t>February</t>
  </si>
  <si>
    <t>March</t>
  </si>
  <si>
    <t>April</t>
  </si>
  <si>
    <t>May</t>
  </si>
  <si>
    <t>June</t>
  </si>
  <si>
    <t>July</t>
  </si>
  <si>
    <t>August</t>
  </si>
  <si>
    <t>November</t>
  </si>
  <si>
    <t xml:space="preserve">Year </t>
  </si>
  <si>
    <t>Month Number</t>
  </si>
  <si>
    <t>Month Name</t>
  </si>
  <si>
    <t>Total Sales</t>
  </si>
  <si>
    <t>health_beauty</t>
  </si>
  <si>
    <t>watches_gifts</t>
  </si>
  <si>
    <t>bed_bath_table</t>
  </si>
  <si>
    <t>sports_leisure</t>
  </si>
  <si>
    <t>computers_accessories</t>
  </si>
  <si>
    <t>furniture_decor</t>
  </si>
  <si>
    <t>cool_stuff</t>
  </si>
  <si>
    <t>housewares</t>
  </si>
  <si>
    <t>auto</t>
  </si>
  <si>
    <t>garden_tools</t>
  </si>
  <si>
    <t>Category</t>
  </si>
  <si>
    <t>Total Revenue</t>
  </si>
  <si>
    <t>Avg Price</t>
  </si>
  <si>
    <t>security_and_services</t>
  </si>
  <si>
    <t>fashion_childrens_clothes</t>
  </si>
  <si>
    <t>cds_dvds_musicals</t>
  </si>
  <si>
    <t>home_comfort_2</t>
  </si>
  <si>
    <t>flowers</t>
  </si>
  <si>
    <t>diapers_and_hygiene</t>
  </si>
  <si>
    <t>arts_and_craftmanship</t>
  </si>
  <si>
    <t>la_cuisine</t>
  </si>
  <si>
    <t>fashion_sport</t>
  </si>
  <si>
    <t>fashio_female_clothing</t>
  </si>
  <si>
    <t>credit_card</t>
  </si>
  <si>
    <t>boleto</t>
  </si>
  <si>
    <t>voucher</t>
  </si>
  <si>
    <t>debit_card</t>
  </si>
  <si>
    <t>not_defined</t>
  </si>
  <si>
    <t>Payment Type</t>
  </si>
  <si>
    <t>Total Transactions</t>
  </si>
  <si>
    <t>Avg Transaction Value</t>
  </si>
  <si>
    <t>N/A</t>
  </si>
  <si>
    <t>Year</t>
  </si>
  <si>
    <t>Year over Year Growth</t>
  </si>
  <si>
    <t>Growth Percentage</t>
  </si>
  <si>
    <t>RR</t>
  </si>
  <si>
    <t>AP</t>
  </si>
  <si>
    <t>AM</t>
  </si>
  <si>
    <t>AL</t>
  </si>
  <si>
    <t>PA</t>
  </si>
  <si>
    <t>MA</t>
  </si>
  <si>
    <t>SE</t>
  </si>
  <si>
    <t>CE</t>
  </si>
  <si>
    <t>AC</t>
  </si>
  <si>
    <t>PB</t>
  </si>
  <si>
    <t>PI</t>
  </si>
  <si>
    <t>RO</t>
  </si>
  <si>
    <t>RN</t>
  </si>
  <si>
    <t>PE</t>
  </si>
  <si>
    <t>MT</t>
  </si>
  <si>
    <t>TO</t>
  </si>
  <si>
    <t>MS</t>
  </si>
  <si>
    <t>Avg Delivery Days Early Late</t>
  </si>
  <si>
    <t>On Time</t>
  </si>
  <si>
    <t>Late</t>
  </si>
  <si>
    <t>Delivery Status</t>
  </si>
  <si>
    <t>Avg Review Score</t>
  </si>
  <si>
    <t>Total Freight Cost</t>
  </si>
  <si>
    <t>Avg Freight Cost</t>
  </si>
  <si>
    <t>State / Region</t>
  </si>
  <si>
    <t>Roraima</t>
  </si>
  <si>
    <t>Amapá</t>
  </si>
  <si>
    <t>Amazonas</t>
  </si>
  <si>
    <t>Alagoas</t>
  </si>
  <si>
    <t>Pará</t>
  </si>
  <si>
    <t>Maranhão</t>
  </si>
  <si>
    <t>Sergipe</t>
  </si>
  <si>
    <t>Ceará</t>
  </si>
  <si>
    <t>Acre</t>
  </si>
  <si>
    <t>Paraíba</t>
  </si>
  <si>
    <t>Bahia</t>
  </si>
  <si>
    <t>Rondônia</t>
  </si>
  <si>
    <t>Rio Grande do Norte</t>
  </si>
  <si>
    <t>Pernambuco</t>
  </si>
  <si>
    <t>Mato Grosso</t>
  </si>
  <si>
    <t>Tocantins</t>
  </si>
  <si>
    <t>Espírito Santo</t>
  </si>
  <si>
    <t>Goiás</t>
  </si>
  <si>
    <t>Mato Grosso do Sul</t>
  </si>
  <si>
    <t>Rio Grande do Sul</t>
  </si>
  <si>
    <t>Rio de Janeiro</t>
  </si>
  <si>
    <t>Santa Catarina</t>
  </si>
  <si>
    <t>Distrito Federal</t>
  </si>
  <si>
    <t>Minas Gerais</t>
  </si>
  <si>
    <t>Paraná</t>
  </si>
  <si>
    <t>São Paulo</t>
  </si>
  <si>
    <t>Month and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</si>
</sst>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
    <xf numFmtId="0" fontId="0" fillId="0" borderId="0" xfId="0"/>
    <xf numFmtId="43" fontId="0" fillId="0" borderId="0" xfId="1" applyFont="1"/>
    <xf numFmtId="164" fontId="0" fillId="0" borderId="0" xfId="1" applyNumberFormat="1" applyFont="1"/>
    <xf numFmtId="165" fontId="0" fillId="0" borderId="0" xfId="0" applyNumberFormat="1"/>
    <xf numFmtId="9" fontId="0" fillId="0" borderId="0" xfId="2" applyFont="1"/>
  </cellXfs>
  <cellStyles count="3">
    <cellStyle name="Comma" xfId="1" builtinId="3"/>
    <cellStyle name="Normal" xfId="0" builtinId="0"/>
    <cellStyle name="Percent" xfId="2" builtinId="5"/>
  </cellStyles>
  <dxfs count="3">
    <dxf>
      <font>
        <b val="0"/>
        <i val="0"/>
        <strike val="0"/>
        <condense val="0"/>
        <extend val="0"/>
        <outline val="0"/>
        <shadow val="0"/>
        <u val="none"/>
        <vertAlign val="baseline"/>
        <sz val="11"/>
        <color theme="1"/>
        <name val="Aptos Narrow"/>
        <family val="2"/>
        <scheme val="minor"/>
      </font>
      <numFmt numFmtId="164" formatCode="_-* #,##0_-;\-* #,##0_-;_-* &quot;-&quot;??_-;_-@_-"/>
    </dxf>
    <dxf>
      <numFmt numFmtId="164" formatCode="_-* #,##0_-;\-* #,##0_-;_-* &quot;-&quot;??_-;_-@_-"/>
    </dxf>
    <dxf>
      <numFmt numFmtId="35" formatCode="_-* #,##0.00_-;\-* #,##0.00_-;_-* &quot;-&quot;??_-;_-@_-"/>
    </dxf>
  </dxfs>
  <tableStyles count="0" defaultTableStyle="TableStyleMedium2" defaultPivotStyle="PivotStyleLight16"/>
  <colors>
    <mruColors>
      <color rgb="FFFFCCCC"/>
      <color rgb="FFFF7C80"/>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17/06/relationships/rdArray" Target="richData/rdarray.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0/07/relationships/rdRichValueWebImage" Target="richData/rdRichValueWebImage.xml"/><Relationship Id="rId28"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microsoft.com/office/2017/06/relationships/richStyles" Target="richData/richStyles.xml"/><Relationship Id="rId30"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2000" b="1" i="0" u="none" strike="noStrike" baseline="0"/>
              <a:t>Purchase Patterns by Hour</a:t>
            </a:r>
            <a:endParaRPr lang="en-PH"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lineChart>
        <c:grouping val="standard"/>
        <c:varyColors val="0"/>
        <c:ser>
          <c:idx val="1"/>
          <c:order val="1"/>
          <c:tx>
            <c:strRef>
              <c:f>'1A'!$B$1</c:f>
              <c:strCache>
                <c:ptCount val="1"/>
                <c:pt idx="0">
                  <c:v>Total Orders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'1A'!$B$2:$B$25</c:f>
              <c:numCache>
                <c:formatCode>General</c:formatCode>
                <c:ptCount val="24"/>
                <c:pt idx="0">
                  <c:v>2394</c:v>
                </c:pt>
                <c:pt idx="1">
                  <c:v>1170</c:v>
                </c:pt>
                <c:pt idx="2">
                  <c:v>510</c:v>
                </c:pt>
                <c:pt idx="3">
                  <c:v>272</c:v>
                </c:pt>
                <c:pt idx="4">
                  <c:v>206</c:v>
                </c:pt>
                <c:pt idx="5">
                  <c:v>188</c:v>
                </c:pt>
                <c:pt idx="6">
                  <c:v>502</c:v>
                </c:pt>
                <c:pt idx="7">
                  <c:v>1231</c:v>
                </c:pt>
                <c:pt idx="8">
                  <c:v>2967</c:v>
                </c:pt>
                <c:pt idx="9">
                  <c:v>4785</c:v>
                </c:pt>
                <c:pt idx="10">
                  <c:v>6177</c:v>
                </c:pt>
                <c:pt idx="11">
                  <c:v>6578</c:v>
                </c:pt>
                <c:pt idx="12">
                  <c:v>5995</c:v>
                </c:pt>
                <c:pt idx="13">
                  <c:v>6518</c:v>
                </c:pt>
                <c:pt idx="14">
                  <c:v>6569</c:v>
                </c:pt>
                <c:pt idx="15">
                  <c:v>6454</c:v>
                </c:pt>
                <c:pt idx="16">
                  <c:v>6675</c:v>
                </c:pt>
                <c:pt idx="17">
                  <c:v>6150</c:v>
                </c:pt>
                <c:pt idx="18">
                  <c:v>5769</c:v>
                </c:pt>
                <c:pt idx="19">
                  <c:v>5982</c:v>
                </c:pt>
                <c:pt idx="20">
                  <c:v>6193</c:v>
                </c:pt>
                <c:pt idx="21">
                  <c:v>6217</c:v>
                </c:pt>
                <c:pt idx="22">
                  <c:v>5816</c:v>
                </c:pt>
                <c:pt idx="23">
                  <c:v>4123</c:v>
                </c:pt>
              </c:numCache>
            </c:numRef>
          </c:val>
          <c:smooth val="0"/>
          <c:extLst>
            <c:ext xmlns:c16="http://schemas.microsoft.com/office/drawing/2014/chart" uri="{C3380CC4-5D6E-409C-BE32-E72D297353CC}">
              <c16:uniqueId val="{00000001-D413-46F8-AA4C-BF750759BFA8}"/>
            </c:ext>
          </c:extLst>
        </c:ser>
        <c:dLbls>
          <c:dLblPos val="t"/>
          <c:showLegendKey val="0"/>
          <c:showVal val="1"/>
          <c:showCatName val="0"/>
          <c:showSerName val="0"/>
          <c:showPercent val="0"/>
          <c:showBubbleSize val="0"/>
        </c:dLbls>
        <c:marker val="1"/>
        <c:smooth val="0"/>
        <c:axId val="264843552"/>
        <c:axId val="264829632"/>
        <c:extLst>
          <c:ext xmlns:c15="http://schemas.microsoft.com/office/drawing/2012/chart" uri="{02D57815-91ED-43cb-92C2-25804820EDAC}">
            <c15:filteredLineSeries>
              <c15:ser>
                <c:idx val="0"/>
                <c:order val="0"/>
                <c:tx>
                  <c:strRef>
                    <c:extLst>
                      <c:ext uri="{02D57815-91ED-43cb-92C2-25804820EDAC}">
                        <c15:formulaRef>
                          <c15:sqref>'1A'!$A$1</c15:sqref>
                        </c15:formulaRef>
                      </c:ext>
                    </c:extLst>
                    <c:strCache>
                      <c:ptCount val="1"/>
                      <c:pt idx="0">
                        <c:v>Hour of Day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'1A'!$A$2:$A$25</c15:sqref>
                        </c15:formulaRef>
                      </c:ext>
                    </c:extLst>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val>
                <c:smooth val="0"/>
                <c:extLst>
                  <c:ext xmlns:c16="http://schemas.microsoft.com/office/drawing/2014/chart" uri="{C3380CC4-5D6E-409C-BE32-E72D297353CC}">
                    <c16:uniqueId val="{00000000-D413-46F8-AA4C-BF750759BFA8}"/>
                  </c:ext>
                </c:extLst>
              </c15:ser>
            </c15:filteredLineSeries>
          </c:ext>
        </c:extLst>
      </c:lineChart>
      <c:catAx>
        <c:axId val="26484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Hour of</a:t>
                </a:r>
                <a:r>
                  <a:rPr lang="en-PH" baseline="0"/>
                  <a:t> Day</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29632"/>
        <c:crosses val="autoZero"/>
        <c:auto val="1"/>
        <c:lblAlgn val="ctr"/>
        <c:lblOffset val="100"/>
        <c:noMultiLvlLbl val="0"/>
      </c:catAx>
      <c:valAx>
        <c:axId val="26482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43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Purchase Patterns by Day of Week</a:t>
            </a:r>
            <a:endParaRPr lang="en-PH"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'1B'!$C$1</c:f>
              <c:strCache>
                <c:ptCount val="1"/>
                <c:pt idx="0">
                  <c:v>Total Orders</c:v>
                </c:pt>
              </c:strCache>
            </c:strRef>
          </c:tx>
          <c:spPr>
            <a:solidFill>
              <a:schemeClr val="accent6">
                <a:lumMod val="75000"/>
              </a:schemeClr>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0-61C8-45F9-A87F-7033C3200D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'1B'!$A$2:$A$8</c:f>
              <c:strCache>
                <c:ptCount val="7"/>
                <c:pt idx="0">
                  <c:v>Sunday</c:v>
                </c:pt>
                <c:pt idx="1">
                  <c:v>Monday</c:v>
                </c:pt>
                <c:pt idx="2">
                  <c:v>Tuesday</c:v>
                </c:pt>
                <c:pt idx="3">
                  <c:v>Wednesday</c:v>
                </c:pt>
                <c:pt idx="4">
                  <c:v>Thursday</c:v>
                </c:pt>
                <c:pt idx="5">
                  <c:v>Friday</c:v>
                </c:pt>
                <c:pt idx="6">
                  <c:v>Saturday</c:v>
                </c:pt>
              </c:strCache>
            </c:strRef>
          </c:cat>
          <c:val>
            <c:numRef>
              <c:f>'1B'!$C$2:$C$8</c:f>
              <c:numCache>
                <c:formatCode>_-* #,##0_-;\-* #,##0_-;_-* "-"??_-;_-@_-</c:formatCode>
                <c:ptCount val="7"/>
                <c:pt idx="0">
                  <c:v>11960</c:v>
                </c:pt>
                <c:pt idx="1">
                  <c:v>16196</c:v>
                </c:pt>
                <c:pt idx="2">
                  <c:v>15963</c:v>
                </c:pt>
                <c:pt idx="3">
                  <c:v>15552</c:v>
                </c:pt>
                <c:pt idx="4">
                  <c:v>14761</c:v>
                </c:pt>
                <c:pt idx="5">
                  <c:v>14122</c:v>
                </c:pt>
                <c:pt idx="6">
                  <c:v>10887</c:v>
                </c:pt>
              </c:numCache>
            </c:numRef>
          </c:val>
          <c:extLst>
            <c:ext xmlns:c16="http://schemas.microsoft.com/office/drawing/2014/chart" uri="{C3380CC4-5D6E-409C-BE32-E72D297353CC}">
              <c16:uniqueId val="{00000000-89D0-483C-B73B-549419C455F8}"/>
            </c:ext>
          </c:extLst>
        </c:ser>
        <c:dLbls>
          <c:dLblPos val="outEnd"/>
          <c:showLegendKey val="0"/>
          <c:showVal val="1"/>
          <c:showCatName val="0"/>
          <c:showSerName val="0"/>
          <c:showPercent val="0"/>
          <c:showBubbleSize val="0"/>
        </c:dLbls>
        <c:gapWidth val="125"/>
        <c:axId val="264850272"/>
        <c:axId val="264846912"/>
      </c:barChart>
      <c:catAx>
        <c:axId val="26485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46912"/>
        <c:crosses val="autoZero"/>
        <c:auto val="1"/>
        <c:lblAlgn val="ctr"/>
        <c:lblOffset val="100"/>
        <c:noMultiLvlLbl val="0"/>
      </c:catAx>
      <c:valAx>
        <c:axId val="2648469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5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Top 10 States by Customer Volume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'1C'!$B$1</c:f>
              <c:strCache>
                <c:ptCount val="1"/>
                <c:pt idx="0">
                  <c:v>Unique Customers</c:v>
                </c:pt>
              </c:strCache>
            </c:strRef>
          </c:tx>
          <c:spPr>
            <a:solidFill>
              <a:schemeClr val="accent6">
                <a:lumMod val="7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EAB8-45A1-A17B-67836CF8FB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'1C'!$A$2:$A$11</c:f>
              <c:strCache>
                <c:ptCount val="10"/>
                <c:pt idx="0">
                  <c:v>SP</c:v>
                </c:pt>
                <c:pt idx="1">
                  <c:v>RJ</c:v>
                </c:pt>
                <c:pt idx="2">
                  <c:v>MG</c:v>
                </c:pt>
                <c:pt idx="3">
                  <c:v>RS</c:v>
                </c:pt>
                <c:pt idx="4">
                  <c:v>PR</c:v>
                </c:pt>
                <c:pt idx="5">
                  <c:v>SC</c:v>
                </c:pt>
                <c:pt idx="6">
                  <c:v>BA</c:v>
                </c:pt>
                <c:pt idx="7">
                  <c:v>DF</c:v>
                </c:pt>
                <c:pt idx="8">
                  <c:v>GO</c:v>
                </c:pt>
                <c:pt idx="9">
                  <c:v>ES</c:v>
                </c:pt>
              </c:strCache>
            </c:strRef>
          </c:cat>
          <c:val>
            <c:numRef>
              <c:f>'1C'!$B$2:$B$11</c:f>
              <c:numCache>
                <c:formatCode>_-* #,##0_-;\-* #,##0_-;_-* "-"??_-;_-@_-</c:formatCode>
                <c:ptCount val="10"/>
                <c:pt idx="0">
                  <c:v>40301</c:v>
                </c:pt>
                <c:pt idx="1">
                  <c:v>12384</c:v>
                </c:pt>
                <c:pt idx="2">
                  <c:v>11259</c:v>
                </c:pt>
                <c:pt idx="3">
                  <c:v>5277</c:v>
                </c:pt>
                <c:pt idx="4">
                  <c:v>4882</c:v>
                </c:pt>
                <c:pt idx="5">
                  <c:v>3534</c:v>
                </c:pt>
                <c:pt idx="6">
                  <c:v>3277</c:v>
                </c:pt>
                <c:pt idx="7">
                  <c:v>2075</c:v>
                </c:pt>
                <c:pt idx="8">
                  <c:v>1952</c:v>
                </c:pt>
                <c:pt idx="9">
                  <c:v>1964</c:v>
                </c:pt>
              </c:numCache>
            </c:numRef>
          </c:val>
          <c:extLst>
            <c:ext xmlns:c16="http://schemas.microsoft.com/office/drawing/2014/chart" uri="{C3380CC4-5D6E-409C-BE32-E72D297353CC}">
              <c16:uniqueId val="{00000000-D05D-406C-8F2D-F6F68A2225F4}"/>
            </c:ext>
          </c:extLst>
        </c:ser>
        <c:dLbls>
          <c:dLblPos val="outEnd"/>
          <c:showLegendKey val="0"/>
          <c:showVal val="1"/>
          <c:showCatName val="0"/>
          <c:showSerName val="0"/>
          <c:showPercent val="0"/>
          <c:showBubbleSize val="0"/>
        </c:dLbls>
        <c:gapWidth val="125"/>
        <c:axId val="264858432"/>
        <c:axId val="264858912"/>
      </c:barChart>
      <c:catAx>
        <c:axId val="2648584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58912"/>
        <c:crosses val="autoZero"/>
        <c:auto val="1"/>
        <c:lblAlgn val="ctr"/>
        <c:lblOffset val="100"/>
        <c:noMultiLvlLbl val="0"/>
      </c:catAx>
      <c:valAx>
        <c:axId val="264858912"/>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5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Review Score vs Delivery Time</a:t>
            </a:r>
            <a:endParaRPr lang="en-PH"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scatterChart>
        <c:scatterStyle val="lineMarker"/>
        <c:varyColors val="0"/>
        <c:ser>
          <c:idx val="0"/>
          <c:order val="0"/>
          <c:tx>
            <c:strRef>
              <c:f>'1D'!$B$1</c:f>
              <c:strCache>
                <c:ptCount val="1"/>
                <c:pt idx="0">
                  <c:v>Avg Delivery Days</c:v>
                </c:pt>
              </c:strCache>
            </c:strRef>
          </c:tx>
          <c:spPr>
            <a:ln w="38100" cap="rnd">
              <a:solidFill>
                <a:schemeClr val="accent6">
                  <a:lumMod val="75000"/>
                </a:schemeClr>
              </a:solidFill>
              <a:round/>
            </a:ln>
            <a:effectLst/>
          </c:spPr>
          <c:marker>
            <c:symbol val="circle"/>
            <c:size val="5"/>
            <c:spPr>
              <a:solidFill>
                <a:schemeClr val="accent6">
                  <a:lumMod val="75000"/>
                  <a:alpha val="95000"/>
                </a:schemeClr>
              </a:solidFill>
              <a:ln w="19050">
                <a:solidFill>
                  <a:schemeClr val="accent6">
                    <a:lumMod val="75000"/>
                    <a:alpha val="9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'1D'!$A$2:$A$6</c:f>
              <c:numCache>
                <c:formatCode>General</c:formatCode>
                <c:ptCount val="5"/>
                <c:pt idx="0">
                  <c:v>5</c:v>
                </c:pt>
                <c:pt idx="1">
                  <c:v>4</c:v>
                </c:pt>
                <c:pt idx="2">
                  <c:v>3</c:v>
                </c:pt>
                <c:pt idx="3">
                  <c:v>2</c:v>
                </c:pt>
                <c:pt idx="4">
                  <c:v>1</c:v>
                </c:pt>
              </c:numCache>
            </c:numRef>
          </c:xVal>
          <c:yVal>
            <c:numRef>
              <c:f>'1D'!$B$2:$B$6</c:f>
              <c:numCache>
                <c:formatCode>General</c:formatCode>
                <c:ptCount val="5"/>
                <c:pt idx="0">
                  <c:v>10.63</c:v>
                </c:pt>
                <c:pt idx="1">
                  <c:v>12.25</c:v>
                </c:pt>
                <c:pt idx="2">
                  <c:v>14.2</c:v>
                </c:pt>
                <c:pt idx="3">
                  <c:v>16.61</c:v>
                </c:pt>
                <c:pt idx="4">
                  <c:v>21.25</c:v>
                </c:pt>
              </c:numCache>
            </c:numRef>
          </c:yVal>
          <c:smooth val="0"/>
          <c:extLst>
            <c:ext xmlns:c16="http://schemas.microsoft.com/office/drawing/2014/chart" uri="{C3380CC4-5D6E-409C-BE32-E72D297353CC}">
              <c16:uniqueId val="{00000000-0442-41DA-916B-25588E5B38A8}"/>
            </c:ext>
          </c:extLst>
        </c:ser>
        <c:dLbls>
          <c:dLblPos val="t"/>
          <c:showLegendKey val="0"/>
          <c:showVal val="1"/>
          <c:showCatName val="0"/>
          <c:showSerName val="0"/>
          <c:showPercent val="0"/>
          <c:showBubbleSize val="0"/>
        </c:dLbls>
        <c:axId val="264756192"/>
        <c:axId val="264756672"/>
      </c:scatterChart>
      <c:valAx>
        <c:axId val="26475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56672"/>
        <c:crosses val="autoZero"/>
        <c:crossBetween val="midCat"/>
      </c:valAx>
      <c:valAx>
        <c:axId val="26475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5619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Buyer Segments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'1E'!$B$1</c:f>
              <c:strCache>
                <c:ptCount val="1"/>
                <c:pt idx="0">
                  <c:v>Number of Customers</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BB40-421A-BB17-D70442D28B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DAF-42D8-A627-0D42245AE8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CDAF-42D8-A627-0D42245AE809}"/>
              </c:ext>
            </c:extLst>
          </c:dPt>
          <c:dLbls>
            <c:dLbl>
              <c:idx val="1"/>
              <c:layout>
                <c:manualLayout>
                  <c:x val="-0.15277777777777779"/>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DAF-42D8-A627-0D42245AE809}"/>
                </c:ext>
              </c:extLst>
            </c:dLbl>
            <c:dLbl>
              <c:idx val="2"/>
              <c:layout>
                <c:manualLayout>
                  <c:x val="0.18055555555555544"/>
                  <c:y val="3.2407407407407406E-2"/>
                </c:manualLayout>
              </c:layout>
              <c:tx>
                <c:rich>
                  <a:bodyPr/>
                  <a:lstStyle/>
                  <a:p>
                    <a:fld id="{4D2C319B-4810-42F7-ACE9-7A7695E271A7}" type="CATEGORYNAME">
                      <a:rPr lang="en-US"/>
                      <a:pPr/>
                      <a:t>[CATEGORY NAME]</a:t>
                    </a:fld>
                    <a:r>
                      <a:rPr lang="en-US" baseline="0"/>
                      <a:t>
0.05%</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DAF-42D8-A627-0D42245AE8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'1E'!$A$2:$A$4</c:f>
              <c:strCache>
                <c:ptCount val="3"/>
                <c:pt idx="0">
                  <c:v>One-Time Buyer</c:v>
                </c:pt>
                <c:pt idx="1">
                  <c:v>Occasional Buyer</c:v>
                </c:pt>
                <c:pt idx="2">
                  <c:v>Frequent Buyer</c:v>
                </c:pt>
              </c:strCache>
            </c:strRef>
          </c:cat>
          <c:val>
            <c:numRef>
              <c:f>'1E'!$B$2:$B$4</c:f>
              <c:numCache>
                <c:formatCode>General</c:formatCode>
                <c:ptCount val="3"/>
                <c:pt idx="0">
                  <c:v>93099</c:v>
                </c:pt>
                <c:pt idx="1">
                  <c:v>2948</c:v>
                </c:pt>
                <c:pt idx="2">
                  <c:v>49</c:v>
                </c:pt>
              </c:numCache>
            </c:numRef>
          </c:val>
          <c:extLst>
            <c:ext xmlns:c16="http://schemas.microsoft.com/office/drawing/2014/chart" uri="{C3380CC4-5D6E-409C-BE32-E72D297353CC}">
              <c16:uniqueId val="{00000000-CDAF-42D8-A627-0D42245AE80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2000" b="1" i="0" u="none" strike="noStrike" baseline="0"/>
              <a:t>Purchase Patterns by Hour</a:t>
            </a:r>
            <a:endParaRPr lang="en-PH"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lineChart>
        <c:grouping val="standard"/>
        <c:varyColors val="0"/>
        <c:ser>
          <c:idx val="1"/>
          <c:order val="1"/>
          <c:tx>
            <c:strRef>
              <c:f>'1A'!$B$1</c:f>
              <c:strCache>
                <c:ptCount val="1"/>
                <c:pt idx="0">
                  <c:v>Total Orders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'1A'!$B$2:$B$25</c:f>
              <c:numCache>
                <c:formatCode>General</c:formatCode>
                <c:ptCount val="24"/>
                <c:pt idx="0">
                  <c:v>2394</c:v>
                </c:pt>
                <c:pt idx="1">
                  <c:v>1170</c:v>
                </c:pt>
                <c:pt idx="2">
                  <c:v>510</c:v>
                </c:pt>
                <c:pt idx="3">
                  <c:v>272</c:v>
                </c:pt>
                <c:pt idx="4">
                  <c:v>206</c:v>
                </c:pt>
                <c:pt idx="5">
                  <c:v>188</c:v>
                </c:pt>
                <c:pt idx="6">
                  <c:v>502</c:v>
                </c:pt>
                <c:pt idx="7">
                  <c:v>1231</c:v>
                </c:pt>
                <c:pt idx="8">
                  <c:v>2967</c:v>
                </c:pt>
                <c:pt idx="9">
                  <c:v>4785</c:v>
                </c:pt>
                <c:pt idx="10">
                  <c:v>6177</c:v>
                </c:pt>
                <c:pt idx="11">
                  <c:v>6578</c:v>
                </c:pt>
                <c:pt idx="12">
                  <c:v>5995</c:v>
                </c:pt>
                <c:pt idx="13">
                  <c:v>6518</c:v>
                </c:pt>
                <c:pt idx="14">
                  <c:v>6569</c:v>
                </c:pt>
                <c:pt idx="15">
                  <c:v>6454</c:v>
                </c:pt>
                <c:pt idx="16">
                  <c:v>6675</c:v>
                </c:pt>
                <c:pt idx="17">
                  <c:v>6150</c:v>
                </c:pt>
                <c:pt idx="18">
                  <c:v>5769</c:v>
                </c:pt>
                <c:pt idx="19">
                  <c:v>5982</c:v>
                </c:pt>
                <c:pt idx="20">
                  <c:v>6193</c:v>
                </c:pt>
                <c:pt idx="21">
                  <c:v>6217</c:v>
                </c:pt>
                <c:pt idx="22">
                  <c:v>5816</c:v>
                </c:pt>
                <c:pt idx="23">
                  <c:v>4123</c:v>
                </c:pt>
              </c:numCache>
            </c:numRef>
          </c:val>
          <c:smooth val="0"/>
          <c:extLst>
            <c:ext xmlns:c16="http://schemas.microsoft.com/office/drawing/2014/chart" uri="{C3380CC4-5D6E-409C-BE32-E72D297353CC}">
              <c16:uniqueId val="{00000000-A6FE-4800-9A91-077D84CAB2F0}"/>
            </c:ext>
          </c:extLst>
        </c:ser>
        <c:dLbls>
          <c:dLblPos val="t"/>
          <c:showLegendKey val="0"/>
          <c:showVal val="1"/>
          <c:showCatName val="0"/>
          <c:showSerName val="0"/>
          <c:showPercent val="0"/>
          <c:showBubbleSize val="0"/>
        </c:dLbls>
        <c:marker val="1"/>
        <c:smooth val="0"/>
        <c:axId val="264843552"/>
        <c:axId val="264829632"/>
        <c:extLst>
          <c:ext xmlns:c15="http://schemas.microsoft.com/office/drawing/2012/chart" uri="{02D57815-91ED-43cb-92C2-25804820EDAC}">
            <c15:filteredLineSeries>
              <c15:ser>
                <c:idx val="0"/>
                <c:order val="0"/>
                <c:tx>
                  <c:strRef>
                    <c:extLst>
                      <c:ext uri="{02D57815-91ED-43cb-92C2-25804820EDAC}">
                        <c15:formulaRef>
                          <c15:sqref>'1A'!$A$1</c15:sqref>
                        </c15:formulaRef>
                      </c:ext>
                    </c:extLst>
                    <c:strCache>
                      <c:ptCount val="1"/>
                      <c:pt idx="0">
                        <c:v>Hour of Day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'1A'!$A$2:$A$25</c15:sqref>
                        </c15:formulaRef>
                      </c:ext>
                    </c:extLst>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val>
                <c:smooth val="0"/>
                <c:extLst>
                  <c:ext xmlns:c16="http://schemas.microsoft.com/office/drawing/2014/chart" uri="{C3380CC4-5D6E-409C-BE32-E72D297353CC}">
                    <c16:uniqueId val="{00000001-A6FE-4800-9A91-077D84CAB2F0}"/>
                  </c:ext>
                </c:extLst>
              </c15:ser>
            </c15:filteredLineSeries>
          </c:ext>
        </c:extLst>
      </c:lineChart>
      <c:catAx>
        <c:axId val="26484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Hour of</a:t>
                </a:r>
                <a:r>
                  <a:rPr lang="en-PH" baseline="0"/>
                  <a:t> Day</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29632"/>
        <c:crosses val="autoZero"/>
        <c:auto val="1"/>
        <c:lblAlgn val="ctr"/>
        <c:lblOffset val="100"/>
        <c:noMultiLvlLbl val="0"/>
      </c:catAx>
      <c:valAx>
        <c:axId val="26482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43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Purchase Patterns by Day of Week</a:t>
            </a:r>
            <a:endParaRPr lang="en-PH"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'1B'!$C$1</c:f>
              <c:strCache>
                <c:ptCount val="1"/>
                <c:pt idx="0">
                  <c:v>Total Orders</c:v>
                </c:pt>
              </c:strCache>
            </c:strRef>
          </c:tx>
          <c:spPr>
            <a:solidFill>
              <a:schemeClr val="accent6">
                <a:lumMod val="75000"/>
              </a:schemeClr>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85EF-4F7E-97AA-EF6BA057AF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'1B'!$A$2:$A$8</c:f>
              <c:strCache>
                <c:ptCount val="7"/>
                <c:pt idx="0">
                  <c:v>Sunday</c:v>
                </c:pt>
                <c:pt idx="1">
                  <c:v>Monday</c:v>
                </c:pt>
                <c:pt idx="2">
                  <c:v>Tuesday</c:v>
                </c:pt>
                <c:pt idx="3">
                  <c:v>Wednesday</c:v>
                </c:pt>
                <c:pt idx="4">
                  <c:v>Thursday</c:v>
                </c:pt>
                <c:pt idx="5">
                  <c:v>Friday</c:v>
                </c:pt>
                <c:pt idx="6">
                  <c:v>Saturday</c:v>
                </c:pt>
              </c:strCache>
            </c:strRef>
          </c:cat>
          <c:val>
            <c:numRef>
              <c:f>'1B'!$C$2:$C$8</c:f>
              <c:numCache>
                <c:formatCode>_-* #,##0_-;\-* #,##0_-;_-* "-"??_-;_-@_-</c:formatCode>
                <c:ptCount val="7"/>
                <c:pt idx="0">
                  <c:v>11960</c:v>
                </c:pt>
                <c:pt idx="1">
                  <c:v>16196</c:v>
                </c:pt>
                <c:pt idx="2">
                  <c:v>15963</c:v>
                </c:pt>
                <c:pt idx="3">
                  <c:v>15552</c:v>
                </c:pt>
                <c:pt idx="4">
                  <c:v>14761</c:v>
                </c:pt>
                <c:pt idx="5">
                  <c:v>14122</c:v>
                </c:pt>
                <c:pt idx="6">
                  <c:v>10887</c:v>
                </c:pt>
              </c:numCache>
            </c:numRef>
          </c:val>
          <c:extLst>
            <c:ext xmlns:c16="http://schemas.microsoft.com/office/drawing/2014/chart" uri="{C3380CC4-5D6E-409C-BE32-E72D297353CC}">
              <c16:uniqueId val="{00000002-85EF-4F7E-97AA-EF6BA057AFCA}"/>
            </c:ext>
          </c:extLst>
        </c:ser>
        <c:dLbls>
          <c:dLblPos val="outEnd"/>
          <c:showLegendKey val="0"/>
          <c:showVal val="1"/>
          <c:showCatName val="0"/>
          <c:showSerName val="0"/>
          <c:showPercent val="0"/>
          <c:showBubbleSize val="0"/>
        </c:dLbls>
        <c:gapWidth val="125"/>
        <c:axId val="264850272"/>
        <c:axId val="264846912"/>
      </c:barChart>
      <c:catAx>
        <c:axId val="26485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46912"/>
        <c:crosses val="autoZero"/>
        <c:auto val="1"/>
        <c:lblAlgn val="ctr"/>
        <c:lblOffset val="100"/>
        <c:noMultiLvlLbl val="0"/>
      </c:catAx>
      <c:valAx>
        <c:axId val="2648469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5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2000" b="1" i="0" u="none" strike="noStrike" baseline="0"/>
              <a:t>Top 10 States by Customer Volume</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'1C'!$B$1</c:f>
              <c:strCache>
                <c:ptCount val="1"/>
                <c:pt idx="0">
                  <c:v>Unique Customers</c:v>
                </c:pt>
              </c:strCache>
            </c:strRef>
          </c:tx>
          <c:spPr>
            <a:solidFill>
              <a:schemeClr val="accent6">
                <a:lumMod val="7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A9F2-474A-BC1A-8689C02F6F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'1C'!$A$2:$A$11</c:f>
              <c:strCache>
                <c:ptCount val="10"/>
                <c:pt idx="0">
                  <c:v>SP</c:v>
                </c:pt>
                <c:pt idx="1">
                  <c:v>RJ</c:v>
                </c:pt>
                <c:pt idx="2">
                  <c:v>MG</c:v>
                </c:pt>
                <c:pt idx="3">
                  <c:v>RS</c:v>
                </c:pt>
                <c:pt idx="4">
                  <c:v>PR</c:v>
                </c:pt>
                <c:pt idx="5">
                  <c:v>SC</c:v>
                </c:pt>
                <c:pt idx="6">
                  <c:v>BA</c:v>
                </c:pt>
                <c:pt idx="7">
                  <c:v>DF</c:v>
                </c:pt>
                <c:pt idx="8">
                  <c:v>GO</c:v>
                </c:pt>
                <c:pt idx="9">
                  <c:v>ES</c:v>
                </c:pt>
              </c:strCache>
            </c:strRef>
          </c:cat>
          <c:val>
            <c:numRef>
              <c:f>'1C'!$B$2:$B$11</c:f>
              <c:numCache>
                <c:formatCode>_-* #,##0_-;\-* #,##0_-;_-* "-"??_-;_-@_-</c:formatCode>
                <c:ptCount val="10"/>
                <c:pt idx="0">
                  <c:v>40301</c:v>
                </c:pt>
                <c:pt idx="1">
                  <c:v>12384</c:v>
                </c:pt>
                <c:pt idx="2">
                  <c:v>11259</c:v>
                </c:pt>
                <c:pt idx="3">
                  <c:v>5277</c:v>
                </c:pt>
                <c:pt idx="4">
                  <c:v>4882</c:v>
                </c:pt>
                <c:pt idx="5">
                  <c:v>3534</c:v>
                </c:pt>
                <c:pt idx="6">
                  <c:v>3277</c:v>
                </c:pt>
                <c:pt idx="7">
                  <c:v>2075</c:v>
                </c:pt>
                <c:pt idx="8">
                  <c:v>1952</c:v>
                </c:pt>
                <c:pt idx="9">
                  <c:v>1964</c:v>
                </c:pt>
              </c:numCache>
            </c:numRef>
          </c:val>
          <c:extLst>
            <c:ext xmlns:c16="http://schemas.microsoft.com/office/drawing/2014/chart" uri="{C3380CC4-5D6E-409C-BE32-E72D297353CC}">
              <c16:uniqueId val="{00000002-A9F2-474A-BC1A-8689C02F6F5D}"/>
            </c:ext>
          </c:extLst>
        </c:ser>
        <c:dLbls>
          <c:dLblPos val="outEnd"/>
          <c:showLegendKey val="0"/>
          <c:showVal val="1"/>
          <c:showCatName val="0"/>
          <c:showSerName val="0"/>
          <c:showPercent val="0"/>
          <c:showBubbleSize val="0"/>
        </c:dLbls>
        <c:gapWidth val="125"/>
        <c:axId val="264858432"/>
        <c:axId val="264858912"/>
      </c:barChart>
      <c:catAx>
        <c:axId val="2648584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58912"/>
        <c:crosses val="autoZero"/>
        <c:auto val="1"/>
        <c:lblAlgn val="ctr"/>
        <c:lblOffset val="100"/>
        <c:noMultiLvlLbl val="0"/>
      </c:catAx>
      <c:valAx>
        <c:axId val="264858912"/>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5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Review Score vs Delivery Time</a:t>
            </a:r>
            <a:endParaRPr lang="en-PH"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scatterChart>
        <c:scatterStyle val="lineMarker"/>
        <c:varyColors val="0"/>
        <c:ser>
          <c:idx val="0"/>
          <c:order val="0"/>
          <c:tx>
            <c:strRef>
              <c:f>'1D'!$B$1</c:f>
              <c:strCache>
                <c:ptCount val="1"/>
                <c:pt idx="0">
                  <c:v>Avg Delivery Days</c:v>
                </c:pt>
              </c:strCache>
            </c:strRef>
          </c:tx>
          <c:spPr>
            <a:ln w="38100" cap="rnd">
              <a:solidFill>
                <a:schemeClr val="accent6">
                  <a:lumMod val="75000"/>
                </a:schemeClr>
              </a:solidFill>
              <a:round/>
            </a:ln>
            <a:effectLst/>
          </c:spPr>
          <c:marker>
            <c:symbol val="circle"/>
            <c:size val="5"/>
            <c:spPr>
              <a:solidFill>
                <a:schemeClr val="accent6">
                  <a:lumMod val="75000"/>
                  <a:alpha val="95000"/>
                </a:schemeClr>
              </a:solidFill>
              <a:ln w="19050">
                <a:solidFill>
                  <a:schemeClr val="accent6">
                    <a:lumMod val="75000"/>
                    <a:alpha val="9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'1D'!$A$2:$A$6</c:f>
              <c:numCache>
                <c:formatCode>General</c:formatCode>
                <c:ptCount val="5"/>
                <c:pt idx="0">
                  <c:v>5</c:v>
                </c:pt>
                <c:pt idx="1">
                  <c:v>4</c:v>
                </c:pt>
                <c:pt idx="2">
                  <c:v>3</c:v>
                </c:pt>
                <c:pt idx="3">
                  <c:v>2</c:v>
                </c:pt>
                <c:pt idx="4">
                  <c:v>1</c:v>
                </c:pt>
              </c:numCache>
            </c:numRef>
          </c:xVal>
          <c:yVal>
            <c:numRef>
              <c:f>'1D'!$B$2:$B$6</c:f>
              <c:numCache>
                <c:formatCode>General</c:formatCode>
                <c:ptCount val="5"/>
                <c:pt idx="0">
                  <c:v>10.63</c:v>
                </c:pt>
                <c:pt idx="1">
                  <c:v>12.25</c:v>
                </c:pt>
                <c:pt idx="2">
                  <c:v>14.2</c:v>
                </c:pt>
                <c:pt idx="3">
                  <c:v>16.61</c:v>
                </c:pt>
                <c:pt idx="4">
                  <c:v>21.25</c:v>
                </c:pt>
              </c:numCache>
            </c:numRef>
          </c:yVal>
          <c:smooth val="0"/>
          <c:extLst>
            <c:ext xmlns:c16="http://schemas.microsoft.com/office/drawing/2014/chart" uri="{C3380CC4-5D6E-409C-BE32-E72D297353CC}">
              <c16:uniqueId val="{00000000-68D6-46D3-BA1D-7C1DEE2E1372}"/>
            </c:ext>
          </c:extLst>
        </c:ser>
        <c:dLbls>
          <c:dLblPos val="t"/>
          <c:showLegendKey val="0"/>
          <c:showVal val="1"/>
          <c:showCatName val="0"/>
          <c:showSerName val="0"/>
          <c:showPercent val="0"/>
          <c:showBubbleSize val="0"/>
        </c:dLbls>
        <c:axId val="264756192"/>
        <c:axId val="264756672"/>
      </c:scatterChart>
      <c:valAx>
        <c:axId val="26475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56672"/>
        <c:crosses val="autoZero"/>
        <c:crossBetween val="midCat"/>
      </c:valAx>
      <c:valAx>
        <c:axId val="26475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5619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Buyer Segments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'1E'!$B$1</c:f>
              <c:strCache>
                <c:ptCount val="1"/>
                <c:pt idx="0">
                  <c:v>Number of Customers</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9B0-4FBC-83E7-E3345DA93F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B0-4FBC-83E7-E3345DA93F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B0-4FBC-83E7-E3345DA93F3C}"/>
              </c:ext>
            </c:extLst>
          </c:dPt>
          <c:dLbls>
            <c:dLbl>
              <c:idx val="1"/>
              <c:layout>
                <c:manualLayout>
                  <c:x val="-0.15277777777777779"/>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9B0-4FBC-83E7-E3345DA93F3C}"/>
                </c:ext>
              </c:extLst>
            </c:dLbl>
            <c:dLbl>
              <c:idx val="2"/>
              <c:layout>
                <c:manualLayout>
                  <c:x val="0.18055555555555544"/>
                  <c:y val="3.2407407407407406E-2"/>
                </c:manualLayout>
              </c:layout>
              <c:tx>
                <c:rich>
                  <a:bodyPr/>
                  <a:lstStyle/>
                  <a:p>
                    <a:fld id="{4D2C319B-4810-42F7-ACE9-7A7695E271A7}" type="CATEGORYNAME">
                      <a:rPr lang="en-US"/>
                      <a:pPr/>
                      <a:t>[CATEGORY NAME]</a:t>
                    </a:fld>
                    <a:r>
                      <a:rPr lang="en-US" baseline="0"/>
                      <a:t>
0.05%</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9B0-4FBC-83E7-E3345DA93F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'1E'!$A$2:$A$4</c:f>
              <c:strCache>
                <c:ptCount val="3"/>
                <c:pt idx="0">
                  <c:v>One-Time Buyer</c:v>
                </c:pt>
                <c:pt idx="1">
                  <c:v>Occasional Buyer</c:v>
                </c:pt>
                <c:pt idx="2">
                  <c:v>Frequent Buyer</c:v>
                </c:pt>
              </c:strCache>
            </c:strRef>
          </c:cat>
          <c:val>
            <c:numRef>
              <c:f>'1E'!$B$2:$B$4</c:f>
              <c:numCache>
                <c:formatCode>General</c:formatCode>
                <c:ptCount val="3"/>
                <c:pt idx="0">
                  <c:v>93099</c:v>
                </c:pt>
                <c:pt idx="1">
                  <c:v>2948</c:v>
                </c:pt>
                <c:pt idx="2">
                  <c:v>49</c:v>
                </c:pt>
              </c:numCache>
            </c:numRef>
          </c:val>
          <c:extLst>
            <c:ext xmlns:c16="http://schemas.microsoft.com/office/drawing/2014/chart" uri="{C3380CC4-5D6E-409C-BE32-E72D297353CC}">
              <c16:uniqueId val="{00000006-A9B0-4FBC-83E7-E3345DA93F3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Monthly Sales Trend 2016–2018</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'2A'!$E$1</c:f>
              <c:strCache>
                <c:ptCount val="1"/>
                <c:pt idx="0">
                  <c:v>Total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9F-488E-A960-18740D753CD4}"/>
                </c:ext>
              </c:extLst>
            </c:dLbl>
            <c:dLbl>
              <c:idx val="1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9F-488E-A960-18740D753C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'2A'!$D$2:$D$25</c:f>
              <c:strCache>
                <c:ptCount val="23"/>
                <c:pt idx="0">
                  <c:v> September - 2016 </c:v>
                </c:pt>
                <c:pt idx="1">
                  <c:v> October - 2016 </c:v>
                </c:pt>
                <c:pt idx="2">
                  <c:v> December - 2016 </c:v>
                </c:pt>
                <c:pt idx="3">
                  <c:v> January - 2017 </c:v>
                </c:pt>
                <c:pt idx="4">
                  <c:v> February - 2017 </c:v>
                </c:pt>
                <c:pt idx="5">
                  <c:v> March - 2017 </c:v>
                </c:pt>
                <c:pt idx="6">
                  <c:v> April - 2017 </c:v>
                </c:pt>
                <c:pt idx="7">
                  <c:v> May - 2017 </c:v>
                </c:pt>
                <c:pt idx="8">
                  <c:v> June - 2017 </c:v>
                </c:pt>
                <c:pt idx="9">
                  <c:v> July - 2017 </c:v>
                </c:pt>
                <c:pt idx="10">
                  <c:v> August - 2017 </c:v>
                </c:pt>
                <c:pt idx="11">
                  <c:v> September - 2017 </c:v>
                </c:pt>
                <c:pt idx="12">
                  <c:v> October - 2017 </c:v>
                </c:pt>
                <c:pt idx="13">
                  <c:v> November - 2017 </c:v>
                </c:pt>
                <c:pt idx="14">
                  <c:v> December - 2017 </c:v>
                </c:pt>
                <c:pt idx="15">
                  <c:v> January - 2018 </c:v>
                </c:pt>
                <c:pt idx="16">
                  <c:v> February - 2018 </c:v>
                </c:pt>
                <c:pt idx="17">
                  <c:v> March - 2018 </c:v>
                </c:pt>
                <c:pt idx="18">
                  <c:v> April - 2018 </c:v>
                </c:pt>
                <c:pt idx="19">
                  <c:v> May - 2018 </c:v>
                </c:pt>
                <c:pt idx="20">
                  <c:v> June - 2018 </c:v>
                </c:pt>
                <c:pt idx="21">
                  <c:v> July - 2018 </c:v>
                </c:pt>
                <c:pt idx="22">
                  <c:v> August - 2018 </c:v>
                </c:pt>
              </c:strCache>
            </c:strRef>
          </c:cat>
          <c:val>
            <c:numRef>
              <c:f>'2A'!$E$2:$E$25</c:f>
              <c:numCache>
                <c:formatCode>_-* #,##0_-;\-* #,##0_-;_-* "-"??_-;_-@_-</c:formatCode>
                <c:ptCount val="24"/>
                <c:pt idx="0">
                  <c:v>267.36</c:v>
                </c:pt>
                <c:pt idx="1">
                  <c:v>49507.66</c:v>
                </c:pt>
                <c:pt idx="2">
                  <c:v>10.9</c:v>
                </c:pt>
                <c:pt idx="3">
                  <c:v>120312.87</c:v>
                </c:pt>
                <c:pt idx="4">
                  <c:v>247303.02</c:v>
                </c:pt>
                <c:pt idx="5">
                  <c:v>374344.3</c:v>
                </c:pt>
                <c:pt idx="6">
                  <c:v>359927.23</c:v>
                </c:pt>
                <c:pt idx="7">
                  <c:v>506071.14</c:v>
                </c:pt>
                <c:pt idx="8">
                  <c:v>433038.6</c:v>
                </c:pt>
                <c:pt idx="9">
                  <c:v>498031.48</c:v>
                </c:pt>
                <c:pt idx="10">
                  <c:v>573971.68000000005</c:v>
                </c:pt>
                <c:pt idx="11">
                  <c:v>624401.68999999994</c:v>
                </c:pt>
                <c:pt idx="12">
                  <c:v>664219.43000000005</c:v>
                </c:pt>
                <c:pt idx="13">
                  <c:v>1010271.37</c:v>
                </c:pt>
                <c:pt idx="14">
                  <c:v>743914.17</c:v>
                </c:pt>
                <c:pt idx="15">
                  <c:v>950030.36</c:v>
                </c:pt>
                <c:pt idx="16">
                  <c:v>844178.71</c:v>
                </c:pt>
                <c:pt idx="17">
                  <c:v>983213.44</c:v>
                </c:pt>
                <c:pt idx="18">
                  <c:v>996647.75</c:v>
                </c:pt>
                <c:pt idx="19">
                  <c:v>996517.68</c:v>
                </c:pt>
                <c:pt idx="20">
                  <c:v>865124.31</c:v>
                </c:pt>
                <c:pt idx="21">
                  <c:v>895507.22</c:v>
                </c:pt>
                <c:pt idx="22">
                  <c:v>854686.33</c:v>
                </c:pt>
              </c:numCache>
            </c:numRef>
          </c:val>
          <c:smooth val="0"/>
          <c:extLst>
            <c:ext xmlns:c16="http://schemas.microsoft.com/office/drawing/2014/chart" uri="{C3380CC4-5D6E-409C-BE32-E72D297353CC}">
              <c16:uniqueId val="{00000000-819F-488E-A960-18740D753CD4}"/>
            </c:ext>
          </c:extLst>
        </c:ser>
        <c:dLbls>
          <c:showLegendKey val="0"/>
          <c:showVal val="0"/>
          <c:showCatName val="0"/>
          <c:showSerName val="0"/>
          <c:showPercent val="0"/>
          <c:showBubbleSize val="0"/>
        </c:dLbls>
        <c:marker val="1"/>
        <c:smooth val="0"/>
        <c:axId val="1549314752"/>
        <c:axId val="1549320512"/>
      </c:lineChart>
      <c:catAx>
        <c:axId val="154931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20512"/>
        <c:crosses val="autoZero"/>
        <c:auto val="1"/>
        <c:lblAlgn val="ctr"/>
        <c:lblOffset val="100"/>
        <c:noMultiLvlLbl val="0"/>
      </c:catAx>
      <c:valAx>
        <c:axId val="15493205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147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Top Product Categories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'2B'!$D$1</c:f>
              <c:strCache>
                <c:ptCount val="1"/>
                <c:pt idx="0">
                  <c:v>Total Revenue</c:v>
                </c:pt>
              </c:strCache>
            </c:strRef>
          </c:tx>
          <c:spPr>
            <a:solidFill>
              <a:schemeClr val="accent6">
                <a:lumMod val="7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D0D7-433B-9D57-9C75A4B30B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'2B'!$B$2:$B$11</c:f>
              <c:strCache>
                <c:ptCount val="10"/>
                <c:pt idx="0">
                  <c:v>Health Beauty</c:v>
                </c:pt>
                <c:pt idx="1">
                  <c:v>Watches Gifts</c:v>
                </c:pt>
                <c:pt idx="2">
                  <c:v>Bed Bath Table</c:v>
                </c:pt>
                <c:pt idx="3">
                  <c:v>Sports Leisure</c:v>
                </c:pt>
                <c:pt idx="4">
                  <c:v>Computers Accessories</c:v>
                </c:pt>
                <c:pt idx="5">
                  <c:v>Furniture Decor</c:v>
                </c:pt>
                <c:pt idx="6">
                  <c:v>Cool Stuff</c:v>
                </c:pt>
                <c:pt idx="7">
                  <c:v>Housewares</c:v>
                </c:pt>
                <c:pt idx="8">
                  <c:v>Auto</c:v>
                </c:pt>
                <c:pt idx="9">
                  <c:v>Garden Tools</c:v>
                </c:pt>
              </c:strCache>
            </c:strRef>
          </c:cat>
          <c:val>
            <c:numRef>
              <c:f>'2B'!$D$2:$D$11</c:f>
              <c:numCache>
                <c:formatCode>_(* #,##0.00_);_(* \(#,##0.00\);_(* "-"??_);_(@_)</c:formatCode>
                <c:ptCount val="10"/>
                <c:pt idx="0">
                  <c:v>2517362.6800000002</c:v>
                </c:pt>
                <c:pt idx="1">
                  <c:v>2410011.36</c:v>
                </c:pt>
                <c:pt idx="2">
                  <c:v>2073977.36</c:v>
                </c:pt>
                <c:pt idx="3">
                  <c:v>1976097.94</c:v>
                </c:pt>
                <c:pt idx="4">
                  <c:v>1823908.64</c:v>
                </c:pt>
                <c:pt idx="5">
                  <c:v>1459524.98</c:v>
                </c:pt>
                <c:pt idx="6">
                  <c:v>1270581.7</c:v>
                </c:pt>
                <c:pt idx="7">
                  <c:v>1264497.32</c:v>
                </c:pt>
                <c:pt idx="8">
                  <c:v>1185440.22</c:v>
                </c:pt>
                <c:pt idx="9">
                  <c:v>970512.92</c:v>
                </c:pt>
              </c:numCache>
            </c:numRef>
          </c:val>
          <c:extLst>
            <c:ext xmlns:c16="http://schemas.microsoft.com/office/drawing/2014/chart" uri="{C3380CC4-5D6E-409C-BE32-E72D297353CC}">
              <c16:uniqueId val="{00000000-957E-4F3C-A538-759F13F21A04}"/>
            </c:ext>
          </c:extLst>
        </c:ser>
        <c:dLbls>
          <c:dLblPos val="outEnd"/>
          <c:showLegendKey val="0"/>
          <c:showVal val="1"/>
          <c:showCatName val="0"/>
          <c:showSerName val="0"/>
          <c:showPercent val="0"/>
          <c:showBubbleSize val="0"/>
        </c:dLbls>
        <c:gapWidth val="125"/>
        <c:axId val="237343520"/>
        <c:axId val="237335840"/>
      </c:barChart>
      <c:catAx>
        <c:axId val="2373435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335840"/>
        <c:crosses val="autoZero"/>
        <c:auto val="1"/>
        <c:lblAlgn val="ctr"/>
        <c:lblOffset val="100"/>
        <c:noMultiLvlLbl val="0"/>
      </c:catAx>
      <c:valAx>
        <c:axId val="237335840"/>
        <c:scaling>
          <c:orientation val="minMax"/>
        </c:scaling>
        <c:delete val="0"/>
        <c:axPos val="t"/>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3435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Bottom Product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'2C'!$D$1</c:f>
              <c:strCache>
                <c:ptCount val="1"/>
                <c:pt idx="0">
                  <c:v> Total Revenue </c:v>
                </c:pt>
              </c:strCache>
            </c:strRef>
          </c:tx>
          <c:spPr>
            <a:solidFill>
              <a:schemeClr val="accent6">
                <a:lumMod val="7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6656-420C-81D9-46938376A9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'2C'!$B$2:$B$11</c:f>
              <c:strCache>
                <c:ptCount val="10"/>
                <c:pt idx="0">
                  <c:v>Security And Services</c:v>
                </c:pt>
                <c:pt idx="1">
                  <c:v>Fashion Childrens Clothes</c:v>
                </c:pt>
                <c:pt idx="2">
                  <c:v>Cds Dvds Musicals</c:v>
                </c:pt>
                <c:pt idx="3">
                  <c:v>Home Comfort 2</c:v>
                </c:pt>
                <c:pt idx="4">
                  <c:v>Flowers</c:v>
                </c:pt>
                <c:pt idx="5">
                  <c:v>Diapers And Hygiene</c:v>
                </c:pt>
                <c:pt idx="6">
                  <c:v>Arts And Craftmanship</c:v>
                </c:pt>
                <c:pt idx="7">
                  <c:v>La Cuisine</c:v>
                </c:pt>
                <c:pt idx="8">
                  <c:v>Fashion Sport</c:v>
                </c:pt>
                <c:pt idx="9">
                  <c:v>Fashio Female Clothing</c:v>
                </c:pt>
              </c:strCache>
            </c:strRef>
          </c:cat>
          <c:val>
            <c:numRef>
              <c:f>'2C'!$D$2:$D$11</c:f>
              <c:numCache>
                <c:formatCode>_(* #,##0.00_);_(* \(#,##0.00\);_(* "-"??_);_(@_)</c:formatCode>
                <c:ptCount val="10"/>
                <c:pt idx="0">
                  <c:v>566.58000000000004</c:v>
                </c:pt>
                <c:pt idx="1">
                  <c:v>1139.7</c:v>
                </c:pt>
                <c:pt idx="2">
                  <c:v>1460</c:v>
                </c:pt>
                <c:pt idx="3">
                  <c:v>1520.54</c:v>
                </c:pt>
                <c:pt idx="4">
                  <c:v>2220.08</c:v>
                </c:pt>
                <c:pt idx="5">
                  <c:v>3135.18</c:v>
                </c:pt>
                <c:pt idx="6">
                  <c:v>3628.02</c:v>
                </c:pt>
                <c:pt idx="7">
                  <c:v>4109.9799999999996</c:v>
                </c:pt>
                <c:pt idx="8">
                  <c:v>4239.0200000000004</c:v>
                </c:pt>
                <c:pt idx="9">
                  <c:v>5607.28</c:v>
                </c:pt>
              </c:numCache>
            </c:numRef>
          </c:val>
          <c:extLst>
            <c:ext xmlns:c16="http://schemas.microsoft.com/office/drawing/2014/chart" uri="{C3380CC4-5D6E-409C-BE32-E72D297353CC}">
              <c16:uniqueId val="{00000000-A7E6-4421-AF4A-5232F1B898D9}"/>
            </c:ext>
          </c:extLst>
        </c:ser>
        <c:dLbls>
          <c:dLblPos val="outEnd"/>
          <c:showLegendKey val="0"/>
          <c:showVal val="1"/>
          <c:showCatName val="0"/>
          <c:showSerName val="0"/>
          <c:showPercent val="0"/>
          <c:showBubbleSize val="0"/>
        </c:dLbls>
        <c:gapWidth val="125"/>
        <c:axId val="264803232"/>
        <c:axId val="264814752"/>
      </c:barChart>
      <c:catAx>
        <c:axId val="2648032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14752"/>
        <c:crosses val="autoZero"/>
        <c:auto val="1"/>
        <c:lblAlgn val="ctr"/>
        <c:lblOffset val="100"/>
        <c:noMultiLvlLbl val="0"/>
      </c:catAx>
      <c:valAx>
        <c:axId val="264814752"/>
        <c:scaling>
          <c:orientation val="minMax"/>
        </c:scaling>
        <c:delete val="0"/>
        <c:axPos val="t"/>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032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Sales by Payment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'2D'!$D$1</c:f>
              <c:strCache>
                <c:ptCount val="1"/>
                <c:pt idx="0">
                  <c:v>Total Revenue</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565-46E6-8562-D8D6401010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65-46E6-8562-D8D640101088}"/>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2565-46E6-8562-D8D6401010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65-46E6-8562-D8D640101088}"/>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65-46E6-8562-D8D6401010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'2D'!$B$2:$B$5</c:f>
              <c:strCache>
                <c:ptCount val="4"/>
                <c:pt idx="0">
                  <c:v>Credit Card</c:v>
                </c:pt>
                <c:pt idx="1">
                  <c:v>Boleto</c:v>
                </c:pt>
                <c:pt idx="2">
                  <c:v>Voucher</c:v>
                </c:pt>
                <c:pt idx="3">
                  <c:v>Debit Card</c:v>
                </c:pt>
              </c:strCache>
            </c:strRef>
          </c:cat>
          <c:val>
            <c:numRef>
              <c:f>'2D'!$D$2:$D$5</c:f>
              <c:numCache>
                <c:formatCode>_(* #,##0.00_);_(* \(#,##0.00\);_(* "-"??_);_(@_)</c:formatCode>
                <c:ptCount val="4"/>
                <c:pt idx="0">
                  <c:v>12542084.189999999</c:v>
                </c:pt>
                <c:pt idx="1">
                  <c:v>2869361.27</c:v>
                </c:pt>
                <c:pt idx="2">
                  <c:v>379436.87</c:v>
                </c:pt>
                <c:pt idx="3">
                  <c:v>217989.79</c:v>
                </c:pt>
              </c:numCache>
            </c:numRef>
          </c:val>
          <c:extLst>
            <c:ext xmlns:c16="http://schemas.microsoft.com/office/drawing/2014/chart" uri="{C3380CC4-5D6E-409C-BE32-E72D297353CC}">
              <c16:uniqueId val="{00000000-FEFE-4A7D-96C2-EDF6CC87FA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Year over Year Growth</a:t>
            </a:r>
            <a:endParaRPr lang="en-PH"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'2E'!$B$1</c:f>
              <c:strCache>
                <c:ptCount val="1"/>
                <c:pt idx="0">
                  <c:v>Total Sales</c:v>
                </c:pt>
              </c:strCache>
            </c:strRef>
          </c:tx>
          <c:spPr>
            <a:solidFill>
              <a:schemeClr val="accent6">
                <a:lumMod val="75000"/>
              </a:schemeClr>
            </a:solidFill>
            <a:ln>
              <a:noFill/>
            </a:ln>
            <a:effectLst/>
          </c:spPr>
          <c:invertIfNegative val="0"/>
          <c:dLbls>
            <c:dLbl>
              <c:idx val="0"/>
              <c:layout>
                <c:manualLayout>
                  <c:x val="0"/>
                  <c:y val="-4.16666666666667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BD-4FE1-BC4F-1A0ED978A61A}"/>
                </c:ext>
              </c:extLst>
            </c:dLbl>
            <c:dLbl>
              <c:idx val="1"/>
              <c:layout>
                <c:manualLayout>
                  <c:x val="-0.15833333333333338"/>
                  <c:y val="-3.70370370370370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BD-4FE1-BC4F-1A0ED978A61A}"/>
                </c:ext>
              </c:extLst>
            </c:dLbl>
            <c:dLbl>
              <c:idx val="2"/>
              <c:layout>
                <c:manualLayout>
                  <c:x val="-0.13990299823633165"/>
                  <c:y val="-7.06626145416034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CBD-4FE1-BC4F-1A0ED978A6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'2E'!$A$2:$A$4</c:f>
              <c:numCache>
                <c:formatCode>General</c:formatCode>
                <c:ptCount val="3"/>
                <c:pt idx="0">
                  <c:v>2016</c:v>
                </c:pt>
                <c:pt idx="1">
                  <c:v>2017</c:v>
                </c:pt>
                <c:pt idx="2">
                  <c:v>2018</c:v>
                </c:pt>
              </c:numCache>
            </c:numRef>
          </c:cat>
          <c:val>
            <c:numRef>
              <c:f>'2E'!$B$2:$B$4</c:f>
              <c:numCache>
                <c:formatCode>_(* #,##0.00_);_(* \(#,##0.00\);_(* "-"??_);_(@_)</c:formatCode>
                <c:ptCount val="3"/>
                <c:pt idx="0">
                  <c:v>49785.919999999998</c:v>
                </c:pt>
                <c:pt idx="1">
                  <c:v>6155806.9800000004</c:v>
                </c:pt>
                <c:pt idx="2">
                  <c:v>7386050.7999999998</c:v>
                </c:pt>
              </c:numCache>
            </c:numRef>
          </c:val>
          <c:extLst>
            <c:ext xmlns:c16="http://schemas.microsoft.com/office/drawing/2014/chart" uri="{C3380CC4-5D6E-409C-BE32-E72D297353CC}">
              <c16:uniqueId val="{00000000-0CBD-4FE1-BC4F-1A0ED978A61A}"/>
            </c:ext>
          </c:extLst>
        </c:ser>
        <c:ser>
          <c:idx val="1"/>
          <c:order val="1"/>
          <c:tx>
            <c:strRef>
              <c:f>'2E'!$C$1</c:f>
              <c:strCache>
                <c:ptCount val="1"/>
                <c:pt idx="0">
                  <c:v>Year over Year Growth</c:v>
                </c:pt>
              </c:strCache>
            </c:strRef>
          </c:tx>
          <c:spPr>
            <a:solidFill>
              <a:schemeClr val="accent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0CBD-4FE1-BC4F-1A0ED978A61A}"/>
                </c:ext>
              </c:extLst>
            </c:dLbl>
            <c:dLbl>
              <c:idx val="1"/>
              <c:layout>
                <c:manualLayout>
                  <c:x val="-0.12786596119929453"/>
                  <c:y val="-5.4580896686159841E-2"/>
                </c:manualLayout>
              </c:layout>
              <c:tx>
                <c:rich>
                  <a:bodyPr/>
                  <a:lstStyle/>
                  <a:p>
                    <a:r>
                      <a:rPr lang="en-US"/>
                      <a:t>12264%</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CBD-4FE1-BC4F-1A0ED978A61A}"/>
                </c:ext>
              </c:extLst>
            </c:dLbl>
            <c:dLbl>
              <c:idx val="2"/>
              <c:layout>
                <c:manualLayout>
                  <c:x val="-0.11243386243386243"/>
                  <c:y val="-2.7290448343079921E-2"/>
                </c:manualLayout>
              </c:layout>
              <c:tx>
                <c:rich>
                  <a:bodyPr/>
                  <a:lstStyle/>
                  <a:p>
                    <a:r>
                      <a:rPr lang="en-US"/>
                      <a:t>20%</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CBD-4FE1-BC4F-1A0ED978A6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'2E'!$A$2:$A$4</c:f>
              <c:numCache>
                <c:formatCode>General</c:formatCode>
                <c:ptCount val="3"/>
                <c:pt idx="0">
                  <c:v>2016</c:v>
                </c:pt>
                <c:pt idx="1">
                  <c:v>2017</c:v>
                </c:pt>
                <c:pt idx="2">
                  <c:v>2018</c:v>
                </c:pt>
              </c:numCache>
            </c:numRef>
          </c:cat>
          <c:val>
            <c:numRef>
              <c:f>'2E'!$C$2:$C$4</c:f>
              <c:numCache>
                <c:formatCode>General</c:formatCode>
                <c:ptCount val="3"/>
                <c:pt idx="0">
                  <c:v>0</c:v>
                </c:pt>
                <c:pt idx="1">
                  <c:v>6106021.0599999996</c:v>
                </c:pt>
                <c:pt idx="2">
                  <c:v>1230243.82</c:v>
                </c:pt>
              </c:numCache>
            </c:numRef>
          </c:val>
          <c:extLst>
            <c:ext xmlns:c16="http://schemas.microsoft.com/office/drawing/2014/chart" uri="{C3380CC4-5D6E-409C-BE32-E72D297353CC}">
              <c16:uniqueId val="{00000001-0CBD-4FE1-BC4F-1A0ED978A61A}"/>
            </c:ext>
          </c:extLst>
        </c:ser>
        <c:dLbls>
          <c:showLegendKey val="0"/>
          <c:showVal val="0"/>
          <c:showCatName val="0"/>
          <c:showSerName val="0"/>
          <c:showPercent val="0"/>
          <c:showBubbleSize val="0"/>
        </c:dLbls>
        <c:gapWidth val="150"/>
        <c:overlap val="100"/>
        <c:axId val="1719340512"/>
        <c:axId val="1719333312"/>
      </c:barChart>
      <c:catAx>
        <c:axId val="171934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33312"/>
        <c:crosses val="autoZero"/>
        <c:auto val="1"/>
        <c:lblAlgn val="ctr"/>
        <c:lblOffset val="100"/>
        <c:noMultiLvlLbl val="0"/>
      </c:catAx>
      <c:valAx>
        <c:axId val="171933331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4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Top Product Categories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'2B'!$D$1</c:f>
              <c:strCache>
                <c:ptCount val="1"/>
                <c:pt idx="0">
                  <c:v>Total Revenue</c:v>
                </c:pt>
              </c:strCache>
            </c:strRef>
          </c:tx>
          <c:spPr>
            <a:solidFill>
              <a:schemeClr val="accent6">
                <a:lumMod val="7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4E45-4BF0-BDC1-52E7E1430A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'2B'!$B$2:$B$11</c:f>
              <c:strCache>
                <c:ptCount val="10"/>
                <c:pt idx="0">
                  <c:v>Health Beauty</c:v>
                </c:pt>
                <c:pt idx="1">
                  <c:v>Watches Gifts</c:v>
                </c:pt>
                <c:pt idx="2">
                  <c:v>Bed Bath Table</c:v>
                </c:pt>
                <c:pt idx="3">
                  <c:v>Sports Leisure</c:v>
                </c:pt>
                <c:pt idx="4">
                  <c:v>Computers Accessories</c:v>
                </c:pt>
                <c:pt idx="5">
                  <c:v>Furniture Decor</c:v>
                </c:pt>
                <c:pt idx="6">
                  <c:v>Cool Stuff</c:v>
                </c:pt>
                <c:pt idx="7">
                  <c:v>Housewares</c:v>
                </c:pt>
                <c:pt idx="8">
                  <c:v>Auto</c:v>
                </c:pt>
                <c:pt idx="9">
                  <c:v>Garden Tools</c:v>
                </c:pt>
              </c:strCache>
            </c:strRef>
          </c:cat>
          <c:val>
            <c:numRef>
              <c:f>'2B'!$D$2:$D$11</c:f>
              <c:numCache>
                <c:formatCode>_(* #,##0.00_);_(* \(#,##0.00\);_(* "-"??_);_(@_)</c:formatCode>
                <c:ptCount val="10"/>
                <c:pt idx="0">
                  <c:v>2517362.6800000002</c:v>
                </c:pt>
                <c:pt idx="1">
                  <c:v>2410011.36</c:v>
                </c:pt>
                <c:pt idx="2">
                  <c:v>2073977.36</c:v>
                </c:pt>
                <c:pt idx="3">
                  <c:v>1976097.94</c:v>
                </c:pt>
                <c:pt idx="4">
                  <c:v>1823908.64</c:v>
                </c:pt>
                <c:pt idx="5">
                  <c:v>1459524.98</c:v>
                </c:pt>
                <c:pt idx="6">
                  <c:v>1270581.7</c:v>
                </c:pt>
                <c:pt idx="7">
                  <c:v>1264497.32</c:v>
                </c:pt>
                <c:pt idx="8">
                  <c:v>1185440.22</c:v>
                </c:pt>
                <c:pt idx="9">
                  <c:v>970512.92</c:v>
                </c:pt>
              </c:numCache>
            </c:numRef>
          </c:val>
          <c:extLst>
            <c:ext xmlns:c16="http://schemas.microsoft.com/office/drawing/2014/chart" uri="{C3380CC4-5D6E-409C-BE32-E72D297353CC}">
              <c16:uniqueId val="{00000002-4E45-4BF0-BDC1-52E7E1430A0D}"/>
            </c:ext>
          </c:extLst>
        </c:ser>
        <c:dLbls>
          <c:dLblPos val="outEnd"/>
          <c:showLegendKey val="0"/>
          <c:showVal val="1"/>
          <c:showCatName val="0"/>
          <c:showSerName val="0"/>
          <c:showPercent val="0"/>
          <c:showBubbleSize val="0"/>
        </c:dLbls>
        <c:gapWidth val="125"/>
        <c:axId val="237343520"/>
        <c:axId val="237335840"/>
      </c:barChart>
      <c:catAx>
        <c:axId val="2373435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335840"/>
        <c:crosses val="autoZero"/>
        <c:auto val="1"/>
        <c:lblAlgn val="ctr"/>
        <c:lblOffset val="100"/>
        <c:noMultiLvlLbl val="0"/>
      </c:catAx>
      <c:valAx>
        <c:axId val="237335840"/>
        <c:scaling>
          <c:orientation val="minMax"/>
        </c:scaling>
        <c:delete val="0"/>
        <c:axPos val="t"/>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3435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Bottom Product Categories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'2C'!$D$1</c:f>
              <c:strCache>
                <c:ptCount val="1"/>
                <c:pt idx="0">
                  <c:v> Total Revenue </c:v>
                </c:pt>
              </c:strCache>
            </c:strRef>
          </c:tx>
          <c:spPr>
            <a:solidFill>
              <a:schemeClr val="accent6">
                <a:lumMod val="7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9541-4650-92DA-E6EBCEDCD3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'2C'!$B$2:$B$11</c:f>
              <c:strCache>
                <c:ptCount val="10"/>
                <c:pt idx="0">
                  <c:v>Security And Services</c:v>
                </c:pt>
                <c:pt idx="1">
                  <c:v>Fashion Childrens Clothes</c:v>
                </c:pt>
                <c:pt idx="2">
                  <c:v>Cds Dvds Musicals</c:v>
                </c:pt>
                <c:pt idx="3">
                  <c:v>Home Comfort 2</c:v>
                </c:pt>
                <c:pt idx="4">
                  <c:v>Flowers</c:v>
                </c:pt>
                <c:pt idx="5">
                  <c:v>Diapers And Hygiene</c:v>
                </c:pt>
                <c:pt idx="6">
                  <c:v>Arts And Craftmanship</c:v>
                </c:pt>
                <c:pt idx="7">
                  <c:v>La Cuisine</c:v>
                </c:pt>
                <c:pt idx="8">
                  <c:v>Fashion Sport</c:v>
                </c:pt>
                <c:pt idx="9">
                  <c:v>Fashio Female Clothing</c:v>
                </c:pt>
              </c:strCache>
            </c:strRef>
          </c:cat>
          <c:val>
            <c:numRef>
              <c:f>'2C'!$D$2:$D$11</c:f>
              <c:numCache>
                <c:formatCode>_(* #,##0.00_);_(* \(#,##0.00\);_(* "-"??_);_(@_)</c:formatCode>
                <c:ptCount val="10"/>
                <c:pt idx="0">
                  <c:v>566.58000000000004</c:v>
                </c:pt>
                <c:pt idx="1">
                  <c:v>1139.7</c:v>
                </c:pt>
                <c:pt idx="2">
                  <c:v>1460</c:v>
                </c:pt>
                <c:pt idx="3">
                  <c:v>1520.54</c:v>
                </c:pt>
                <c:pt idx="4">
                  <c:v>2220.08</c:v>
                </c:pt>
                <c:pt idx="5">
                  <c:v>3135.18</c:v>
                </c:pt>
                <c:pt idx="6">
                  <c:v>3628.02</c:v>
                </c:pt>
                <c:pt idx="7">
                  <c:v>4109.9799999999996</c:v>
                </c:pt>
                <c:pt idx="8">
                  <c:v>4239.0200000000004</c:v>
                </c:pt>
                <c:pt idx="9">
                  <c:v>5607.28</c:v>
                </c:pt>
              </c:numCache>
            </c:numRef>
          </c:val>
          <c:extLst>
            <c:ext xmlns:c16="http://schemas.microsoft.com/office/drawing/2014/chart" uri="{C3380CC4-5D6E-409C-BE32-E72D297353CC}">
              <c16:uniqueId val="{00000002-9541-4650-92DA-E6EBCEDCD317}"/>
            </c:ext>
          </c:extLst>
        </c:ser>
        <c:dLbls>
          <c:dLblPos val="outEnd"/>
          <c:showLegendKey val="0"/>
          <c:showVal val="1"/>
          <c:showCatName val="0"/>
          <c:showSerName val="0"/>
          <c:showPercent val="0"/>
          <c:showBubbleSize val="0"/>
        </c:dLbls>
        <c:gapWidth val="125"/>
        <c:axId val="264803232"/>
        <c:axId val="264814752"/>
      </c:barChart>
      <c:catAx>
        <c:axId val="2648032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14752"/>
        <c:crosses val="autoZero"/>
        <c:auto val="1"/>
        <c:lblAlgn val="ctr"/>
        <c:lblOffset val="100"/>
        <c:noMultiLvlLbl val="0"/>
      </c:catAx>
      <c:valAx>
        <c:axId val="264814752"/>
        <c:scaling>
          <c:orientation val="minMax"/>
        </c:scaling>
        <c:delete val="0"/>
        <c:axPos val="t"/>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032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Year over Year Growth</a:t>
            </a:r>
            <a:endParaRPr lang="en-PH"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stacked"/>
        <c:varyColors val="0"/>
        <c:ser>
          <c:idx val="0"/>
          <c:order val="0"/>
          <c:tx>
            <c:strRef>
              <c:f>'2E'!$B$1</c:f>
              <c:strCache>
                <c:ptCount val="1"/>
                <c:pt idx="0">
                  <c:v>Total Sales</c:v>
                </c:pt>
              </c:strCache>
            </c:strRef>
          </c:tx>
          <c:spPr>
            <a:solidFill>
              <a:schemeClr val="accent6">
                <a:lumMod val="75000"/>
              </a:schemeClr>
            </a:solidFill>
            <a:ln>
              <a:noFill/>
            </a:ln>
            <a:effectLst/>
          </c:spPr>
          <c:invertIfNegative val="0"/>
          <c:dLbls>
            <c:dLbl>
              <c:idx val="0"/>
              <c:layout>
                <c:manualLayout>
                  <c:x val="0"/>
                  <c:y val="-4.16666666666667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0E-4B17-96EA-E2F3E49CB400}"/>
                </c:ext>
              </c:extLst>
            </c:dLbl>
            <c:dLbl>
              <c:idx val="1"/>
              <c:layout>
                <c:manualLayout>
                  <c:x val="-0.15833333333333338"/>
                  <c:y val="-3.70370370370370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0E-4B17-96EA-E2F3E49CB400}"/>
                </c:ext>
              </c:extLst>
            </c:dLbl>
            <c:dLbl>
              <c:idx val="2"/>
              <c:layout>
                <c:manualLayout>
                  <c:x val="-0.12605037983724471"/>
                  <c:y val="-7.066266675157652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0E-4B17-96EA-E2F3E49CB4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'2E'!$A$2:$A$4</c:f>
              <c:numCache>
                <c:formatCode>General</c:formatCode>
                <c:ptCount val="3"/>
                <c:pt idx="0">
                  <c:v>2016</c:v>
                </c:pt>
                <c:pt idx="1">
                  <c:v>2017</c:v>
                </c:pt>
                <c:pt idx="2">
                  <c:v>2018</c:v>
                </c:pt>
              </c:numCache>
            </c:numRef>
          </c:cat>
          <c:val>
            <c:numRef>
              <c:f>'2E'!$B$2:$B$4</c:f>
              <c:numCache>
                <c:formatCode>_(* #,##0.00_);_(* \(#,##0.00\);_(* "-"??_);_(@_)</c:formatCode>
                <c:ptCount val="3"/>
                <c:pt idx="0">
                  <c:v>49785.919999999998</c:v>
                </c:pt>
                <c:pt idx="1">
                  <c:v>6155806.9800000004</c:v>
                </c:pt>
                <c:pt idx="2">
                  <c:v>7386050.7999999998</c:v>
                </c:pt>
              </c:numCache>
            </c:numRef>
          </c:val>
          <c:extLst>
            <c:ext xmlns:c16="http://schemas.microsoft.com/office/drawing/2014/chart" uri="{C3380CC4-5D6E-409C-BE32-E72D297353CC}">
              <c16:uniqueId val="{00000003-E70E-4B17-96EA-E2F3E49CB400}"/>
            </c:ext>
          </c:extLst>
        </c:ser>
        <c:ser>
          <c:idx val="1"/>
          <c:order val="1"/>
          <c:tx>
            <c:strRef>
              <c:f>'2E'!$C$1</c:f>
              <c:strCache>
                <c:ptCount val="1"/>
                <c:pt idx="0">
                  <c:v>Year over Year Growth</c:v>
                </c:pt>
              </c:strCache>
            </c:strRef>
          </c:tx>
          <c:spPr>
            <a:solidFill>
              <a:schemeClr val="accent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E70E-4B17-96EA-E2F3E49CB400}"/>
                </c:ext>
              </c:extLst>
            </c:dLbl>
            <c:dLbl>
              <c:idx val="1"/>
              <c:layout>
                <c:manualLayout>
                  <c:x val="-0.12786596119929453"/>
                  <c:y val="-5.4580896686159841E-2"/>
                </c:manualLayout>
              </c:layout>
              <c:tx>
                <c:rich>
                  <a:bodyPr/>
                  <a:lstStyle/>
                  <a:p>
                    <a:r>
                      <a:rPr lang="en-US"/>
                      <a:t>12264%</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70E-4B17-96EA-E2F3E49CB400}"/>
                </c:ext>
              </c:extLst>
            </c:dLbl>
            <c:dLbl>
              <c:idx val="2"/>
              <c:layout>
                <c:manualLayout>
                  <c:x val="-9.7573184861676057E-2"/>
                  <c:y val="-0.10725399856128924"/>
                </c:manualLayout>
              </c:layout>
              <c:tx>
                <c:rich>
                  <a:bodyPr/>
                  <a:lstStyle/>
                  <a:p>
                    <a:r>
                      <a:rPr lang="en-US"/>
                      <a:t>20%</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70E-4B17-96EA-E2F3E49CB4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'2E'!$A$2:$A$4</c:f>
              <c:numCache>
                <c:formatCode>General</c:formatCode>
                <c:ptCount val="3"/>
                <c:pt idx="0">
                  <c:v>2016</c:v>
                </c:pt>
                <c:pt idx="1">
                  <c:v>2017</c:v>
                </c:pt>
                <c:pt idx="2">
                  <c:v>2018</c:v>
                </c:pt>
              </c:numCache>
            </c:numRef>
          </c:cat>
          <c:val>
            <c:numRef>
              <c:f>'2E'!$C$2:$C$4</c:f>
              <c:numCache>
                <c:formatCode>General</c:formatCode>
                <c:ptCount val="3"/>
                <c:pt idx="0">
                  <c:v>0</c:v>
                </c:pt>
                <c:pt idx="1">
                  <c:v>6106021.0599999996</c:v>
                </c:pt>
                <c:pt idx="2">
                  <c:v>1230243.82</c:v>
                </c:pt>
              </c:numCache>
            </c:numRef>
          </c:val>
          <c:extLst>
            <c:ext xmlns:c16="http://schemas.microsoft.com/office/drawing/2014/chart" uri="{C3380CC4-5D6E-409C-BE32-E72D297353CC}">
              <c16:uniqueId val="{00000007-E70E-4B17-96EA-E2F3E49CB400}"/>
            </c:ext>
          </c:extLst>
        </c:ser>
        <c:dLbls>
          <c:showLegendKey val="0"/>
          <c:showVal val="0"/>
          <c:showCatName val="0"/>
          <c:showSerName val="0"/>
          <c:showPercent val="0"/>
          <c:showBubbleSize val="0"/>
        </c:dLbls>
        <c:gapWidth val="150"/>
        <c:overlap val="100"/>
        <c:axId val="1719340512"/>
        <c:axId val="1719333312"/>
      </c:barChart>
      <c:catAx>
        <c:axId val="171934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33312"/>
        <c:crosses val="autoZero"/>
        <c:auto val="1"/>
        <c:lblAlgn val="ctr"/>
        <c:lblOffset val="100"/>
        <c:noMultiLvlLbl val="0"/>
      </c:catAx>
      <c:valAx>
        <c:axId val="171933331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4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Monthly Sales Trend 2016–2018</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'2A'!$E$1</c:f>
              <c:strCache>
                <c:ptCount val="1"/>
                <c:pt idx="0">
                  <c:v>Total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D6F-4293-B910-778C5BF6AB6D}"/>
                </c:ext>
              </c:extLst>
            </c:dLbl>
            <c:dLbl>
              <c:idx val="1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6F-4293-B910-778C5BF6AB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'2A'!$D$2:$D$25</c:f>
              <c:strCache>
                <c:ptCount val="23"/>
                <c:pt idx="0">
                  <c:v> September - 2016 </c:v>
                </c:pt>
                <c:pt idx="1">
                  <c:v> October - 2016 </c:v>
                </c:pt>
                <c:pt idx="2">
                  <c:v> December - 2016 </c:v>
                </c:pt>
                <c:pt idx="3">
                  <c:v> January - 2017 </c:v>
                </c:pt>
                <c:pt idx="4">
                  <c:v> February - 2017 </c:v>
                </c:pt>
                <c:pt idx="5">
                  <c:v> March - 2017 </c:v>
                </c:pt>
                <c:pt idx="6">
                  <c:v> April - 2017 </c:v>
                </c:pt>
                <c:pt idx="7">
                  <c:v> May - 2017 </c:v>
                </c:pt>
                <c:pt idx="8">
                  <c:v> June - 2017 </c:v>
                </c:pt>
                <c:pt idx="9">
                  <c:v> July - 2017 </c:v>
                </c:pt>
                <c:pt idx="10">
                  <c:v> August - 2017 </c:v>
                </c:pt>
                <c:pt idx="11">
                  <c:v> September - 2017 </c:v>
                </c:pt>
                <c:pt idx="12">
                  <c:v> October - 2017 </c:v>
                </c:pt>
                <c:pt idx="13">
                  <c:v> November - 2017 </c:v>
                </c:pt>
                <c:pt idx="14">
                  <c:v> December - 2017 </c:v>
                </c:pt>
                <c:pt idx="15">
                  <c:v> January - 2018 </c:v>
                </c:pt>
                <c:pt idx="16">
                  <c:v> February - 2018 </c:v>
                </c:pt>
                <c:pt idx="17">
                  <c:v> March - 2018 </c:v>
                </c:pt>
                <c:pt idx="18">
                  <c:v> April - 2018 </c:v>
                </c:pt>
                <c:pt idx="19">
                  <c:v> May - 2018 </c:v>
                </c:pt>
                <c:pt idx="20">
                  <c:v> June - 2018 </c:v>
                </c:pt>
                <c:pt idx="21">
                  <c:v> July - 2018 </c:v>
                </c:pt>
                <c:pt idx="22">
                  <c:v> August - 2018 </c:v>
                </c:pt>
              </c:strCache>
            </c:strRef>
          </c:cat>
          <c:val>
            <c:numRef>
              <c:f>'2A'!$E$2:$E$25</c:f>
              <c:numCache>
                <c:formatCode>_-* #,##0_-;\-* #,##0_-;_-* "-"??_-;_-@_-</c:formatCode>
                <c:ptCount val="24"/>
                <c:pt idx="0">
                  <c:v>267.36</c:v>
                </c:pt>
                <c:pt idx="1">
                  <c:v>49507.66</c:v>
                </c:pt>
                <c:pt idx="2">
                  <c:v>10.9</c:v>
                </c:pt>
                <c:pt idx="3">
                  <c:v>120312.87</c:v>
                </c:pt>
                <c:pt idx="4">
                  <c:v>247303.02</c:v>
                </c:pt>
                <c:pt idx="5">
                  <c:v>374344.3</c:v>
                </c:pt>
                <c:pt idx="6">
                  <c:v>359927.23</c:v>
                </c:pt>
                <c:pt idx="7">
                  <c:v>506071.14</c:v>
                </c:pt>
                <c:pt idx="8">
                  <c:v>433038.6</c:v>
                </c:pt>
                <c:pt idx="9">
                  <c:v>498031.48</c:v>
                </c:pt>
                <c:pt idx="10">
                  <c:v>573971.68000000005</c:v>
                </c:pt>
                <c:pt idx="11">
                  <c:v>624401.68999999994</c:v>
                </c:pt>
                <c:pt idx="12">
                  <c:v>664219.43000000005</c:v>
                </c:pt>
                <c:pt idx="13">
                  <c:v>1010271.37</c:v>
                </c:pt>
                <c:pt idx="14">
                  <c:v>743914.17</c:v>
                </c:pt>
                <c:pt idx="15">
                  <c:v>950030.36</c:v>
                </c:pt>
                <c:pt idx="16">
                  <c:v>844178.71</c:v>
                </c:pt>
                <c:pt idx="17">
                  <c:v>983213.44</c:v>
                </c:pt>
                <c:pt idx="18">
                  <c:v>996647.75</c:v>
                </c:pt>
                <c:pt idx="19">
                  <c:v>996517.68</c:v>
                </c:pt>
                <c:pt idx="20">
                  <c:v>865124.31</c:v>
                </c:pt>
                <c:pt idx="21">
                  <c:v>895507.22</c:v>
                </c:pt>
                <c:pt idx="22">
                  <c:v>854686.33</c:v>
                </c:pt>
              </c:numCache>
            </c:numRef>
          </c:val>
          <c:smooth val="0"/>
          <c:extLst>
            <c:ext xmlns:c16="http://schemas.microsoft.com/office/drawing/2014/chart" uri="{C3380CC4-5D6E-409C-BE32-E72D297353CC}">
              <c16:uniqueId val="{00000002-4D6F-4293-B910-778C5BF6AB6D}"/>
            </c:ext>
          </c:extLst>
        </c:ser>
        <c:dLbls>
          <c:showLegendKey val="0"/>
          <c:showVal val="0"/>
          <c:showCatName val="0"/>
          <c:showSerName val="0"/>
          <c:showPercent val="0"/>
          <c:showBubbleSize val="0"/>
        </c:dLbls>
        <c:marker val="1"/>
        <c:smooth val="0"/>
        <c:axId val="1549314752"/>
        <c:axId val="1549320512"/>
      </c:lineChart>
      <c:catAx>
        <c:axId val="154931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20512"/>
        <c:crosses val="autoZero"/>
        <c:auto val="1"/>
        <c:lblAlgn val="ctr"/>
        <c:lblOffset val="100"/>
        <c:noMultiLvlLbl val="0"/>
      </c:catAx>
      <c:valAx>
        <c:axId val="15493205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147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Sales by Payment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'2D'!$D$1</c:f>
              <c:strCache>
                <c:ptCount val="1"/>
                <c:pt idx="0">
                  <c:v>Total Revenue</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5EC4-4607-AFAD-F4F3E482B3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C4-4607-AFAD-F4F3E482B394}"/>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5EC4-4607-AFAD-F4F3E482B3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C4-4607-AFAD-F4F3E482B394}"/>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C4-4607-AFAD-F4F3E482B3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'2D'!$B$2:$B$5</c:f>
              <c:strCache>
                <c:ptCount val="4"/>
                <c:pt idx="0">
                  <c:v>Credit Card</c:v>
                </c:pt>
                <c:pt idx="1">
                  <c:v>Boleto</c:v>
                </c:pt>
                <c:pt idx="2">
                  <c:v>Voucher</c:v>
                </c:pt>
                <c:pt idx="3">
                  <c:v>Debit Card</c:v>
                </c:pt>
              </c:strCache>
            </c:strRef>
          </c:cat>
          <c:val>
            <c:numRef>
              <c:f>'2D'!$D$2:$D$5</c:f>
              <c:numCache>
                <c:formatCode>_(* #,##0.00_);_(* \(#,##0.00\);_(* "-"??_);_(@_)</c:formatCode>
                <c:ptCount val="4"/>
                <c:pt idx="0">
                  <c:v>12542084.189999999</c:v>
                </c:pt>
                <c:pt idx="1">
                  <c:v>2869361.27</c:v>
                </c:pt>
                <c:pt idx="2">
                  <c:v>379436.87</c:v>
                </c:pt>
                <c:pt idx="3">
                  <c:v>217989.79</c:v>
                </c:pt>
              </c:numCache>
            </c:numRef>
          </c:val>
          <c:extLst>
            <c:ext xmlns:c16="http://schemas.microsoft.com/office/drawing/2014/chart" uri="{C3380CC4-5D6E-409C-BE32-E72D297353CC}">
              <c16:uniqueId val="{00000008-5EC4-4607-AFAD-F4F3E482B3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b="1"/>
              <a:t>Delivery Time by State</a:t>
            </a:r>
            <a:endParaRPr lang="en-US" sz="1100" b="1" i="0" u="none" strike="noStrike" baseline="0">
              <a:solidFill>
                <a:sysClr val="windowText" lastClr="000000">
                  <a:lumMod val="65000"/>
                  <a:lumOff val="35000"/>
                </a:sysClr>
              </a:solidFill>
              <a:latin typeface="Aptos Narrow" panose="02110004020202020204"/>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'3A'!$C$1</c:f>
              <c:strCache>
                <c:ptCount val="1"/>
                <c:pt idx="0">
                  <c:v>Avg Delivery Days</c:v>
                </c:pt>
              </c:strCache>
            </c:strRef>
          </c:tx>
          <c:spPr>
            <a:solidFill>
              <a:schemeClr val="accent6">
                <a:lumMod val="7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75C3-4B6B-81CD-80AF5759D6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'3A'!$B$2:$B$28</c:f>
              <c:strCache>
                <c:ptCount val="27"/>
                <c:pt idx="0">
                  <c:v>Roraima</c:v>
                </c:pt>
                <c:pt idx="1">
                  <c:v>Amapá</c:v>
                </c:pt>
                <c:pt idx="2">
                  <c:v>Amazonas</c:v>
                </c:pt>
                <c:pt idx="3">
                  <c:v>Alagoas</c:v>
                </c:pt>
                <c:pt idx="4">
                  <c:v>Pará</c:v>
                </c:pt>
                <c:pt idx="5">
                  <c:v>Maranhão</c:v>
                </c:pt>
                <c:pt idx="6">
                  <c:v>Sergipe</c:v>
                </c:pt>
                <c:pt idx="7">
                  <c:v>Ceará</c:v>
                </c:pt>
                <c:pt idx="8">
                  <c:v>Acre</c:v>
                </c:pt>
                <c:pt idx="9">
                  <c:v>Paraíba</c:v>
                </c:pt>
                <c:pt idx="10">
                  <c:v>Piauí</c:v>
                </c:pt>
                <c:pt idx="11">
                  <c:v>Bahia</c:v>
                </c:pt>
                <c:pt idx="12">
                  <c:v>Rondônia</c:v>
                </c:pt>
                <c:pt idx="13">
                  <c:v>Rio Grande do Norte</c:v>
                </c:pt>
                <c:pt idx="14">
                  <c:v>Pernambuco</c:v>
                </c:pt>
                <c:pt idx="15">
                  <c:v>Mato Grosso</c:v>
                </c:pt>
                <c:pt idx="16">
                  <c:v>Tocantins</c:v>
                </c:pt>
                <c:pt idx="17">
                  <c:v>Espírito Santo</c:v>
                </c:pt>
                <c:pt idx="18">
                  <c:v>Goiás</c:v>
                </c:pt>
                <c:pt idx="19">
                  <c:v>Mato Grosso do Sul</c:v>
                </c:pt>
                <c:pt idx="20">
                  <c:v>Rio Grande do Sul</c:v>
                </c:pt>
                <c:pt idx="21">
                  <c:v>Rio de Janeiro</c:v>
                </c:pt>
                <c:pt idx="22">
                  <c:v>Santa Catarina</c:v>
                </c:pt>
                <c:pt idx="23">
                  <c:v>Distrito Federal</c:v>
                </c:pt>
                <c:pt idx="24">
                  <c:v>Minas Gerais</c:v>
                </c:pt>
                <c:pt idx="25">
                  <c:v>Paraná</c:v>
                </c:pt>
                <c:pt idx="26">
                  <c:v>São Paulo</c:v>
                </c:pt>
              </c:strCache>
            </c:strRef>
          </c:cat>
          <c:val>
            <c:numRef>
              <c:f>'3A'!$C$2:$C$28</c:f>
              <c:numCache>
                <c:formatCode>0.0</c:formatCode>
                <c:ptCount val="27"/>
                <c:pt idx="0">
                  <c:v>29.34</c:v>
                </c:pt>
                <c:pt idx="1">
                  <c:v>27.18</c:v>
                </c:pt>
                <c:pt idx="2">
                  <c:v>26.36</c:v>
                </c:pt>
                <c:pt idx="3">
                  <c:v>24.5</c:v>
                </c:pt>
                <c:pt idx="4">
                  <c:v>23.73</c:v>
                </c:pt>
                <c:pt idx="5">
                  <c:v>21.51</c:v>
                </c:pt>
                <c:pt idx="6">
                  <c:v>21.46</c:v>
                </c:pt>
                <c:pt idx="7">
                  <c:v>21.2</c:v>
                </c:pt>
                <c:pt idx="8">
                  <c:v>21</c:v>
                </c:pt>
                <c:pt idx="9">
                  <c:v>20.39</c:v>
                </c:pt>
                <c:pt idx="10">
                  <c:v>19.39</c:v>
                </c:pt>
                <c:pt idx="11">
                  <c:v>19.28</c:v>
                </c:pt>
                <c:pt idx="12">
                  <c:v>19.28</c:v>
                </c:pt>
                <c:pt idx="13">
                  <c:v>19.22</c:v>
                </c:pt>
                <c:pt idx="14">
                  <c:v>18.399999999999999</c:v>
                </c:pt>
                <c:pt idx="15">
                  <c:v>18</c:v>
                </c:pt>
                <c:pt idx="16">
                  <c:v>17.600000000000001</c:v>
                </c:pt>
                <c:pt idx="17">
                  <c:v>15.72</c:v>
                </c:pt>
                <c:pt idx="18">
                  <c:v>15.54</c:v>
                </c:pt>
                <c:pt idx="19">
                  <c:v>15.54</c:v>
                </c:pt>
                <c:pt idx="20">
                  <c:v>15.25</c:v>
                </c:pt>
                <c:pt idx="21">
                  <c:v>15.24</c:v>
                </c:pt>
                <c:pt idx="22">
                  <c:v>14.91</c:v>
                </c:pt>
                <c:pt idx="23">
                  <c:v>12.9</c:v>
                </c:pt>
                <c:pt idx="24">
                  <c:v>11.95</c:v>
                </c:pt>
                <c:pt idx="25">
                  <c:v>11.94</c:v>
                </c:pt>
                <c:pt idx="26">
                  <c:v>8.6999999999999993</c:v>
                </c:pt>
              </c:numCache>
            </c:numRef>
          </c:val>
          <c:extLst>
            <c:ext xmlns:c16="http://schemas.microsoft.com/office/drawing/2014/chart" uri="{C3380CC4-5D6E-409C-BE32-E72D297353CC}">
              <c16:uniqueId val="{00000000-75C3-4B6B-81CD-80AF5759D6F1}"/>
            </c:ext>
          </c:extLst>
        </c:ser>
        <c:dLbls>
          <c:showLegendKey val="0"/>
          <c:showVal val="0"/>
          <c:showCatName val="0"/>
          <c:showSerName val="0"/>
          <c:showPercent val="0"/>
          <c:showBubbleSize val="0"/>
        </c:dLbls>
        <c:gapWidth val="125"/>
        <c:axId val="1719305472"/>
        <c:axId val="1719309312"/>
      </c:barChart>
      <c:catAx>
        <c:axId val="17193054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09312"/>
        <c:crosses val="autoZero"/>
        <c:auto val="1"/>
        <c:lblAlgn val="ctr"/>
        <c:lblOffset val="100"/>
        <c:noMultiLvlLbl val="0"/>
      </c:catAx>
      <c:valAx>
        <c:axId val="1719309312"/>
        <c:scaling>
          <c:orientation val="minMax"/>
        </c:scaling>
        <c:delete val="0"/>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054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Late vs On-Time Deliveries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'3B'!$B$1</c:f>
              <c:strCache>
                <c:ptCount val="1"/>
                <c:pt idx="0">
                  <c:v>Total Orders</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550B-4977-8206-6BF48FE0E8C6}"/>
              </c:ext>
            </c:extLst>
          </c:dPt>
          <c:dPt>
            <c:idx val="1"/>
            <c:bubble3D val="0"/>
            <c:spPr>
              <a:solidFill>
                <a:schemeClr val="accent2"/>
              </a:solidFill>
              <a:ln w="19050">
                <a:noFill/>
              </a:ln>
              <a:effectLst/>
            </c:spPr>
            <c:extLst>
              <c:ext xmlns:c16="http://schemas.microsoft.com/office/drawing/2014/chart" uri="{C3380CC4-5D6E-409C-BE32-E72D297353CC}">
                <c16:uniqueId val="{00000003-550B-4977-8206-6BF48FE0E8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'3B'!$A$2:$A$3</c:f>
              <c:strCache>
                <c:ptCount val="2"/>
                <c:pt idx="0">
                  <c:v>On Time</c:v>
                </c:pt>
                <c:pt idx="1">
                  <c:v>Late</c:v>
                </c:pt>
              </c:strCache>
            </c:strRef>
          </c:cat>
          <c:val>
            <c:numRef>
              <c:f>'3B'!$B$2:$B$3</c:f>
              <c:numCache>
                <c:formatCode>General</c:formatCode>
                <c:ptCount val="2"/>
                <c:pt idx="0">
                  <c:v>88649</c:v>
                </c:pt>
                <c:pt idx="1">
                  <c:v>7827</c:v>
                </c:pt>
              </c:numCache>
            </c:numRef>
          </c:val>
          <c:extLst>
            <c:ext xmlns:c16="http://schemas.microsoft.com/office/drawing/2014/chart" uri="{C3380CC4-5D6E-409C-BE32-E72D297353CC}">
              <c16:uniqueId val="{00000000-BA3F-441B-99BA-F199BB3005A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Geographical Distribution</a:t>
            </a:r>
            <a:endParaRPr lang="en-PH"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'3D'!$B$1</c:f>
              <c:strCache>
                <c:ptCount val="1"/>
                <c:pt idx="0">
                  <c:v>Total Orders</c:v>
                </c:pt>
              </c:strCache>
            </c:strRef>
          </c:tx>
          <c:spPr>
            <a:solidFill>
              <a:schemeClr val="accent6">
                <a:lumMod val="75000"/>
              </a:schemeClr>
            </a:solidFill>
            <a:ln>
              <a:solidFill>
                <a:schemeClr val="accent6">
                  <a:lumMod val="75000"/>
                </a:schemeClr>
              </a:solid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1E-D9D4-451E-83C0-6AF881CFEECF}"/>
                </c:ext>
              </c:extLst>
            </c:dLbl>
            <c:dLbl>
              <c:idx val="2"/>
              <c:delete val="1"/>
              <c:extLst>
                <c:ext xmlns:c15="http://schemas.microsoft.com/office/drawing/2012/chart" uri="{CE6537A1-D6FC-4f65-9D91-7224C49458BB}"/>
                <c:ext xmlns:c16="http://schemas.microsoft.com/office/drawing/2014/chart" uri="{C3380CC4-5D6E-409C-BE32-E72D297353CC}">
                  <c16:uniqueId val="{0000001F-D9D4-451E-83C0-6AF881CFEECF}"/>
                </c:ext>
              </c:extLst>
            </c:dLbl>
            <c:dLbl>
              <c:idx val="3"/>
              <c:delete val="1"/>
              <c:extLst>
                <c:ext xmlns:c15="http://schemas.microsoft.com/office/drawing/2012/chart" uri="{CE6537A1-D6FC-4f65-9D91-7224C49458BB}"/>
                <c:ext xmlns:c16="http://schemas.microsoft.com/office/drawing/2014/chart" uri="{C3380CC4-5D6E-409C-BE32-E72D297353CC}">
                  <c16:uniqueId val="{00000020-D9D4-451E-83C0-6AF881CFEECF}"/>
                </c:ext>
              </c:extLst>
            </c:dLbl>
            <c:dLbl>
              <c:idx val="4"/>
              <c:delete val="1"/>
              <c:extLst>
                <c:ext xmlns:c15="http://schemas.microsoft.com/office/drawing/2012/chart" uri="{CE6537A1-D6FC-4f65-9D91-7224C49458BB}"/>
                <c:ext xmlns:c16="http://schemas.microsoft.com/office/drawing/2014/chart" uri="{C3380CC4-5D6E-409C-BE32-E72D297353CC}">
                  <c16:uniqueId val="{00000021-D9D4-451E-83C0-6AF881CFEECF}"/>
                </c:ext>
              </c:extLst>
            </c:dLbl>
            <c:dLbl>
              <c:idx val="5"/>
              <c:delete val="1"/>
              <c:extLst>
                <c:ext xmlns:c15="http://schemas.microsoft.com/office/drawing/2012/chart" uri="{CE6537A1-D6FC-4f65-9D91-7224C49458BB}"/>
                <c:ext xmlns:c16="http://schemas.microsoft.com/office/drawing/2014/chart" uri="{C3380CC4-5D6E-409C-BE32-E72D297353CC}">
                  <c16:uniqueId val="{00000022-D9D4-451E-83C0-6AF881CFEECF}"/>
                </c:ext>
              </c:extLst>
            </c:dLbl>
            <c:dLbl>
              <c:idx val="6"/>
              <c:delete val="1"/>
              <c:extLst>
                <c:ext xmlns:c15="http://schemas.microsoft.com/office/drawing/2012/chart" uri="{CE6537A1-D6FC-4f65-9D91-7224C49458BB}"/>
                <c:ext xmlns:c16="http://schemas.microsoft.com/office/drawing/2014/chart" uri="{C3380CC4-5D6E-409C-BE32-E72D297353CC}">
                  <c16:uniqueId val="{00000023-D9D4-451E-83C0-6AF881CFEECF}"/>
                </c:ext>
              </c:extLst>
            </c:dLbl>
            <c:dLbl>
              <c:idx val="7"/>
              <c:delete val="1"/>
              <c:extLst>
                <c:ext xmlns:c15="http://schemas.microsoft.com/office/drawing/2012/chart" uri="{CE6537A1-D6FC-4f65-9D91-7224C49458BB}"/>
                <c:ext xmlns:c16="http://schemas.microsoft.com/office/drawing/2014/chart" uri="{C3380CC4-5D6E-409C-BE32-E72D297353CC}">
                  <c16:uniqueId val="{00000024-D9D4-451E-83C0-6AF881CFEECF}"/>
                </c:ext>
              </c:extLst>
            </c:dLbl>
            <c:dLbl>
              <c:idx val="8"/>
              <c:delete val="1"/>
              <c:extLst>
                <c:ext xmlns:c15="http://schemas.microsoft.com/office/drawing/2012/chart" uri="{CE6537A1-D6FC-4f65-9D91-7224C49458BB}"/>
                <c:ext xmlns:c16="http://schemas.microsoft.com/office/drawing/2014/chart" uri="{C3380CC4-5D6E-409C-BE32-E72D297353CC}">
                  <c16:uniqueId val="{00000025-D9D4-451E-83C0-6AF881CFEECF}"/>
                </c:ext>
              </c:extLst>
            </c:dLbl>
            <c:dLbl>
              <c:idx val="9"/>
              <c:delete val="1"/>
              <c:extLst>
                <c:ext xmlns:c15="http://schemas.microsoft.com/office/drawing/2012/chart" uri="{CE6537A1-D6FC-4f65-9D91-7224C49458BB}"/>
                <c:ext xmlns:c16="http://schemas.microsoft.com/office/drawing/2014/chart" uri="{C3380CC4-5D6E-409C-BE32-E72D297353CC}">
                  <c16:uniqueId val="{00000026-D9D4-451E-83C0-6AF881CFEECF}"/>
                </c:ext>
              </c:extLst>
            </c:dLbl>
            <c:dLbl>
              <c:idx val="10"/>
              <c:delete val="1"/>
              <c:extLst>
                <c:ext xmlns:c15="http://schemas.microsoft.com/office/drawing/2012/chart" uri="{CE6537A1-D6FC-4f65-9D91-7224C49458BB}"/>
                <c:ext xmlns:c16="http://schemas.microsoft.com/office/drawing/2014/chart" uri="{C3380CC4-5D6E-409C-BE32-E72D297353CC}">
                  <c16:uniqueId val="{00000027-D9D4-451E-83C0-6AF881CFEECF}"/>
                </c:ext>
              </c:extLst>
            </c:dLbl>
            <c:dLbl>
              <c:idx val="11"/>
              <c:delete val="1"/>
              <c:extLst>
                <c:ext xmlns:c15="http://schemas.microsoft.com/office/drawing/2012/chart" uri="{CE6537A1-D6FC-4f65-9D91-7224C49458BB}"/>
                <c:ext xmlns:c16="http://schemas.microsoft.com/office/drawing/2014/chart" uri="{C3380CC4-5D6E-409C-BE32-E72D297353CC}">
                  <c16:uniqueId val="{00000028-D9D4-451E-83C0-6AF881CFEECF}"/>
                </c:ext>
              </c:extLst>
            </c:dLbl>
            <c:dLbl>
              <c:idx val="12"/>
              <c:delete val="1"/>
              <c:extLst>
                <c:ext xmlns:c15="http://schemas.microsoft.com/office/drawing/2012/chart" uri="{CE6537A1-D6FC-4f65-9D91-7224C49458BB}"/>
                <c:ext xmlns:c16="http://schemas.microsoft.com/office/drawing/2014/chart" uri="{C3380CC4-5D6E-409C-BE32-E72D297353CC}">
                  <c16:uniqueId val="{00000029-D9D4-451E-83C0-6AF881CFEECF}"/>
                </c:ext>
              </c:extLst>
            </c:dLbl>
            <c:dLbl>
              <c:idx val="13"/>
              <c:delete val="1"/>
              <c:extLst>
                <c:ext xmlns:c15="http://schemas.microsoft.com/office/drawing/2012/chart" uri="{CE6537A1-D6FC-4f65-9D91-7224C49458BB}"/>
                <c:ext xmlns:c16="http://schemas.microsoft.com/office/drawing/2014/chart" uri="{C3380CC4-5D6E-409C-BE32-E72D297353CC}">
                  <c16:uniqueId val="{0000002A-D9D4-451E-83C0-6AF881CFEECF}"/>
                </c:ext>
              </c:extLst>
            </c:dLbl>
            <c:dLbl>
              <c:idx val="14"/>
              <c:delete val="1"/>
              <c:extLst>
                <c:ext xmlns:c15="http://schemas.microsoft.com/office/drawing/2012/chart" uri="{CE6537A1-D6FC-4f65-9D91-7224C49458BB}"/>
                <c:ext xmlns:c16="http://schemas.microsoft.com/office/drawing/2014/chart" uri="{C3380CC4-5D6E-409C-BE32-E72D297353CC}">
                  <c16:uniqueId val="{0000002B-D9D4-451E-83C0-6AF881CFEECF}"/>
                </c:ext>
              </c:extLst>
            </c:dLbl>
            <c:dLbl>
              <c:idx val="15"/>
              <c:delete val="1"/>
              <c:extLst>
                <c:ext xmlns:c15="http://schemas.microsoft.com/office/drawing/2012/chart" uri="{CE6537A1-D6FC-4f65-9D91-7224C49458BB}"/>
                <c:ext xmlns:c16="http://schemas.microsoft.com/office/drawing/2014/chart" uri="{C3380CC4-5D6E-409C-BE32-E72D297353CC}">
                  <c16:uniqueId val="{0000002C-D9D4-451E-83C0-6AF881CFEECF}"/>
                </c:ext>
              </c:extLst>
            </c:dLbl>
            <c:dLbl>
              <c:idx val="16"/>
              <c:delete val="1"/>
              <c:extLst>
                <c:ext xmlns:c15="http://schemas.microsoft.com/office/drawing/2012/chart" uri="{CE6537A1-D6FC-4f65-9D91-7224C49458BB}"/>
                <c:ext xmlns:c16="http://schemas.microsoft.com/office/drawing/2014/chart" uri="{C3380CC4-5D6E-409C-BE32-E72D297353CC}">
                  <c16:uniqueId val="{0000002E-D9D4-451E-83C0-6AF881CFEECF}"/>
                </c:ext>
              </c:extLst>
            </c:dLbl>
            <c:dLbl>
              <c:idx val="17"/>
              <c:delete val="1"/>
              <c:extLst>
                <c:ext xmlns:c15="http://schemas.microsoft.com/office/drawing/2012/chart" uri="{CE6537A1-D6FC-4f65-9D91-7224C49458BB}"/>
                <c:ext xmlns:c16="http://schemas.microsoft.com/office/drawing/2014/chart" uri="{C3380CC4-5D6E-409C-BE32-E72D297353CC}">
                  <c16:uniqueId val="{0000002D-D9D4-451E-83C0-6AF881CFEECF}"/>
                </c:ext>
              </c:extLst>
            </c:dLbl>
            <c:dLbl>
              <c:idx val="18"/>
              <c:delete val="1"/>
              <c:extLst>
                <c:ext xmlns:c15="http://schemas.microsoft.com/office/drawing/2012/chart" uri="{CE6537A1-D6FC-4f65-9D91-7224C49458BB}"/>
                <c:ext xmlns:c16="http://schemas.microsoft.com/office/drawing/2014/chart" uri="{C3380CC4-5D6E-409C-BE32-E72D297353CC}">
                  <c16:uniqueId val="{0000002F-D9D4-451E-83C0-6AF881CFEECF}"/>
                </c:ext>
              </c:extLst>
            </c:dLbl>
            <c:dLbl>
              <c:idx val="19"/>
              <c:delete val="1"/>
              <c:extLst>
                <c:ext xmlns:c15="http://schemas.microsoft.com/office/drawing/2012/chart" uri="{CE6537A1-D6FC-4f65-9D91-7224C49458BB}"/>
                <c:ext xmlns:c16="http://schemas.microsoft.com/office/drawing/2014/chart" uri="{C3380CC4-5D6E-409C-BE32-E72D297353CC}">
                  <c16:uniqueId val="{00000031-D9D4-451E-83C0-6AF881CFEECF}"/>
                </c:ext>
              </c:extLst>
            </c:dLbl>
            <c:dLbl>
              <c:idx val="20"/>
              <c:delete val="1"/>
              <c:extLst>
                <c:ext xmlns:c15="http://schemas.microsoft.com/office/drawing/2012/chart" uri="{CE6537A1-D6FC-4f65-9D91-7224C49458BB}"/>
                <c:ext xmlns:c16="http://schemas.microsoft.com/office/drawing/2014/chart" uri="{C3380CC4-5D6E-409C-BE32-E72D297353CC}">
                  <c16:uniqueId val="{00000030-D9D4-451E-83C0-6AF881CFEECF}"/>
                </c:ext>
              </c:extLst>
            </c:dLbl>
            <c:dLbl>
              <c:idx val="21"/>
              <c:delete val="1"/>
              <c:extLst>
                <c:ext xmlns:c15="http://schemas.microsoft.com/office/drawing/2012/chart" uri="{CE6537A1-D6FC-4f65-9D91-7224C49458BB}"/>
                <c:ext xmlns:c16="http://schemas.microsoft.com/office/drawing/2014/chart" uri="{C3380CC4-5D6E-409C-BE32-E72D297353CC}">
                  <c16:uniqueId val="{00000032-D9D4-451E-83C0-6AF881CFEECF}"/>
                </c:ext>
              </c:extLst>
            </c:dLbl>
            <c:dLbl>
              <c:idx val="22"/>
              <c:delete val="1"/>
              <c:extLst>
                <c:ext xmlns:c15="http://schemas.microsoft.com/office/drawing/2012/chart" uri="{CE6537A1-D6FC-4f65-9D91-7224C49458BB}"/>
                <c:ext xmlns:c16="http://schemas.microsoft.com/office/drawing/2014/chart" uri="{C3380CC4-5D6E-409C-BE32-E72D297353CC}">
                  <c16:uniqueId val="{00000033-D9D4-451E-83C0-6AF881CFEECF}"/>
                </c:ext>
              </c:extLst>
            </c:dLbl>
            <c:dLbl>
              <c:idx val="23"/>
              <c:delete val="1"/>
              <c:extLst>
                <c:ext xmlns:c15="http://schemas.microsoft.com/office/drawing/2012/chart" uri="{CE6537A1-D6FC-4f65-9D91-7224C49458BB}"/>
                <c:ext xmlns:c16="http://schemas.microsoft.com/office/drawing/2014/chart" uri="{C3380CC4-5D6E-409C-BE32-E72D297353CC}">
                  <c16:uniqueId val="{00000034-D9D4-451E-83C0-6AF881CFEECF}"/>
                </c:ext>
              </c:extLst>
            </c:dLbl>
            <c:dLbl>
              <c:idx val="24"/>
              <c:delete val="1"/>
              <c:extLst>
                <c:ext xmlns:c15="http://schemas.microsoft.com/office/drawing/2012/chart" uri="{CE6537A1-D6FC-4f65-9D91-7224C49458BB}"/>
                <c:ext xmlns:c16="http://schemas.microsoft.com/office/drawing/2014/chart" uri="{C3380CC4-5D6E-409C-BE32-E72D297353CC}">
                  <c16:uniqueId val="{00000035-D9D4-451E-83C0-6AF881CFEECF}"/>
                </c:ext>
              </c:extLst>
            </c:dLbl>
            <c:dLbl>
              <c:idx val="25"/>
              <c:delete val="1"/>
              <c:extLst>
                <c:ext xmlns:c15="http://schemas.microsoft.com/office/drawing/2012/chart" uri="{CE6537A1-D6FC-4f65-9D91-7224C49458BB}"/>
                <c:ext xmlns:c16="http://schemas.microsoft.com/office/drawing/2014/chart" uri="{C3380CC4-5D6E-409C-BE32-E72D297353CC}">
                  <c16:uniqueId val="{00000036-D9D4-451E-83C0-6AF881CFEECF}"/>
                </c:ext>
              </c:extLst>
            </c:dLbl>
            <c:dLbl>
              <c:idx val="26"/>
              <c:layout>
                <c:manualLayout>
                  <c:x val="-2.0370135052831988E-16"/>
                  <c:y val="-1.85185185185186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D9D4-451E-83C0-6AF881CFEE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'3D'!$A$2:$A$28</c:f>
              <c:strCache>
                <c:ptCount val="27"/>
                <c:pt idx="0">
                  <c:v>SP</c:v>
                </c:pt>
                <c:pt idx="1">
                  <c:v>RJ</c:v>
                </c:pt>
                <c:pt idx="2">
                  <c:v>MG</c:v>
                </c:pt>
                <c:pt idx="3">
                  <c:v>RS</c:v>
                </c:pt>
                <c:pt idx="4">
                  <c:v>PR</c:v>
                </c:pt>
                <c:pt idx="5">
                  <c:v>SC</c:v>
                </c:pt>
                <c:pt idx="6">
                  <c:v>BA</c:v>
                </c:pt>
                <c:pt idx="7">
                  <c:v>DF</c:v>
                </c:pt>
                <c:pt idx="8">
                  <c:v>ES</c:v>
                </c:pt>
                <c:pt idx="9">
                  <c:v>GO</c:v>
                </c:pt>
                <c:pt idx="10">
                  <c:v>PE</c:v>
                </c:pt>
                <c:pt idx="11">
                  <c:v>CE</c:v>
                </c:pt>
                <c:pt idx="12">
                  <c:v>PA</c:v>
                </c:pt>
                <c:pt idx="13">
                  <c:v>MT</c:v>
                </c:pt>
                <c:pt idx="14">
                  <c:v>MA</c:v>
                </c:pt>
                <c:pt idx="15">
                  <c:v>MS</c:v>
                </c:pt>
                <c:pt idx="16">
                  <c:v>PB</c:v>
                </c:pt>
                <c:pt idx="17">
                  <c:v>PI</c:v>
                </c:pt>
                <c:pt idx="18">
                  <c:v>RN</c:v>
                </c:pt>
                <c:pt idx="19">
                  <c:v>AL</c:v>
                </c:pt>
                <c:pt idx="20">
                  <c:v>SE</c:v>
                </c:pt>
                <c:pt idx="21">
                  <c:v>TO</c:v>
                </c:pt>
                <c:pt idx="22">
                  <c:v>RO</c:v>
                </c:pt>
                <c:pt idx="23">
                  <c:v>AM</c:v>
                </c:pt>
                <c:pt idx="24">
                  <c:v>AC</c:v>
                </c:pt>
                <c:pt idx="25">
                  <c:v>AP</c:v>
                </c:pt>
                <c:pt idx="26">
                  <c:v>RR</c:v>
                </c:pt>
              </c:strCache>
            </c:strRef>
          </c:cat>
          <c:val>
            <c:numRef>
              <c:f>'3D'!$B$2:$B$28</c:f>
              <c:numCache>
                <c:formatCode>_-* #,##0_-;\-* #,##0_-;_-* "-"??_-;_-@_-</c:formatCode>
                <c:ptCount val="27"/>
                <c:pt idx="0">
                  <c:v>40495</c:v>
                </c:pt>
                <c:pt idx="1">
                  <c:v>12353</c:v>
                </c:pt>
                <c:pt idx="2">
                  <c:v>11355</c:v>
                </c:pt>
                <c:pt idx="3">
                  <c:v>5344</c:v>
                </c:pt>
                <c:pt idx="4">
                  <c:v>4923</c:v>
                </c:pt>
                <c:pt idx="5">
                  <c:v>3547</c:v>
                </c:pt>
                <c:pt idx="6">
                  <c:v>3256</c:v>
                </c:pt>
                <c:pt idx="7">
                  <c:v>2080</c:v>
                </c:pt>
                <c:pt idx="8">
                  <c:v>1995</c:v>
                </c:pt>
                <c:pt idx="9">
                  <c:v>1957</c:v>
                </c:pt>
                <c:pt idx="10">
                  <c:v>1593</c:v>
                </c:pt>
                <c:pt idx="11">
                  <c:v>1279</c:v>
                </c:pt>
                <c:pt idx="12">
                  <c:v>946</c:v>
                </c:pt>
                <c:pt idx="13">
                  <c:v>886</c:v>
                </c:pt>
                <c:pt idx="14">
                  <c:v>717</c:v>
                </c:pt>
                <c:pt idx="15">
                  <c:v>701</c:v>
                </c:pt>
                <c:pt idx="16">
                  <c:v>517</c:v>
                </c:pt>
                <c:pt idx="17">
                  <c:v>476</c:v>
                </c:pt>
                <c:pt idx="18">
                  <c:v>474</c:v>
                </c:pt>
                <c:pt idx="19">
                  <c:v>397</c:v>
                </c:pt>
                <c:pt idx="20">
                  <c:v>335</c:v>
                </c:pt>
                <c:pt idx="21">
                  <c:v>274</c:v>
                </c:pt>
                <c:pt idx="22">
                  <c:v>243</c:v>
                </c:pt>
                <c:pt idx="23">
                  <c:v>145</c:v>
                </c:pt>
                <c:pt idx="24">
                  <c:v>80</c:v>
                </c:pt>
                <c:pt idx="25">
                  <c:v>67</c:v>
                </c:pt>
                <c:pt idx="26">
                  <c:v>41</c:v>
                </c:pt>
              </c:numCache>
            </c:numRef>
          </c:val>
          <c:extLst>
            <c:ext xmlns:c16="http://schemas.microsoft.com/office/drawing/2014/chart" uri="{C3380CC4-5D6E-409C-BE32-E72D297353CC}">
              <c16:uniqueId val="{00000000-D9D4-451E-83C0-6AF881CFEECF}"/>
            </c:ext>
          </c:extLst>
        </c:ser>
        <c:ser>
          <c:idx val="1"/>
          <c:order val="1"/>
          <c:tx>
            <c:strRef>
              <c:f>'3D'!$D$1</c:f>
              <c:strCache>
                <c:ptCount val="1"/>
                <c:pt idx="0">
                  <c:v>Avg Freight Cost</c:v>
                </c:pt>
              </c:strCache>
            </c:strRef>
          </c:tx>
          <c:spPr>
            <a:solidFill>
              <a:schemeClr val="accent2"/>
            </a:solidFill>
            <a:ln>
              <a:noFill/>
            </a:ln>
            <a:effectLst/>
          </c:spPr>
          <c:invertIfNegative val="0"/>
          <c:dLbls>
            <c:dLbl>
              <c:idx val="0"/>
              <c:layout>
                <c:manualLayout>
                  <c:x val="0"/>
                  <c:y val="-2.77777777777777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9D4-451E-83C0-6AF881CFEECF}"/>
                </c:ext>
              </c:extLst>
            </c:dLbl>
            <c:dLbl>
              <c:idx val="1"/>
              <c:delete val="1"/>
              <c:extLst>
                <c:ext xmlns:c15="http://schemas.microsoft.com/office/drawing/2012/chart" uri="{CE6537A1-D6FC-4f65-9D91-7224C49458BB}"/>
                <c:ext xmlns:c16="http://schemas.microsoft.com/office/drawing/2014/chart" uri="{C3380CC4-5D6E-409C-BE32-E72D297353CC}">
                  <c16:uniqueId val="{00000003-D9D4-451E-83C0-6AF881CFEECF}"/>
                </c:ext>
              </c:extLst>
            </c:dLbl>
            <c:dLbl>
              <c:idx val="2"/>
              <c:delete val="1"/>
              <c:extLst>
                <c:ext xmlns:c15="http://schemas.microsoft.com/office/drawing/2012/chart" uri="{CE6537A1-D6FC-4f65-9D91-7224C49458BB}"/>
                <c:ext xmlns:c16="http://schemas.microsoft.com/office/drawing/2014/chart" uri="{C3380CC4-5D6E-409C-BE32-E72D297353CC}">
                  <c16:uniqueId val="{00000004-D9D4-451E-83C0-6AF881CFEECF}"/>
                </c:ext>
              </c:extLst>
            </c:dLbl>
            <c:dLbl>
              <c:idx val="3"/>
              <c:delete val="1"/>
              <c:extLst>
                <c:ext xmlns:c15="http://schemas.microsoft.com/office/drawing/2012/chart" uri="{CE6537A1-D6FC-4f65-9D91-7224C49458BB}"/>
                <c:ext xmlns:c16="http://schemas.microsoft.com/office/drawing/2014/chart" uri="{C3380CC4-5D6E-409C-BE32-E72D297353CC}">
                  <c16:uniqueId val="{00000005-D9D4-451E-83C0-6AF881CFEECF}"/>
                </c:ext>
              </c:extLst>
            </c:dLbl>
            <c:dLbl>
              <c:idx val="4"/>
              <c:delete val="1"/>
              <c:extLst>
                <c:ext xmlns:c15="http://schemas.microsoft.com/office/drawing/2012/chart" uri="{CE6537A1-D6FC-4f65-9D91-7224C49458BB}"/>
                <c:ext xmlns:c16="http://schemas.microsoft.com/office/drawing/2014/chart" uri="{C3380CC4-5D6E-409C-BE32-E72D297353CC}">
                  <c16:uniqueId val="{00000007-D9D4-451E-83C0-6AF881CFEECF}"/>
                </c:ext>
              </c:extLst>
            </c:dLbl>
            <c:dLbl>
              <c:idx val="5"/>
              <c:delete val="1"/>
              <c:extLst>
                <c:ext xmlns:c15="http://schemas.microsoft.com/office/drawing/2012/chart" uri="{CE6537A1-D6FC-4f65-9D91-7224C49458BB}"/>
                <c:ext xmlns:c16="http://schemas.microsoft.com/office/drawing/2014/chart" uri="{C3380CC4-5D6E-409C-BE32-E72D297353CC}">
                  <c16:uniqueId val="{00000006-D9D4-451E-83C0-6AF881CFEECF}"/>
                </c:ext>
              </c:extLst>
            </c:dLbl>
            <c:dLbl>
              <c:idx val="6"/>
              <c:delete val="1"/>
              <c:extLst>
                <c:ext xmlns:c15="http://schemas.microsoft.com/office/drawing/2012/chart" uri="{CE6537A1-D6FC-4f65-9D91-7224C49458BB}"/>
                <c:ext xmlns:c16="http://schemas.microsoft.com/office/drawing/2014/chart" uri="{C3380CC4-5D6E-409C-BE32-E72D297353CC}">
                  <c16:uniqueId val="{00000008-D9D4-451E-83C0-6AF881CFEECF}"/>
                </c:ext>
              </c:extLst>
            </c:dLbl>
            <c:dLbl>
              <c:idx val="7"/>
              <c:delete val="1"/>
              <c:extLst>
                <c:ext xmlns:c15="http://schemas.microsoft.com/office/drawing/2012/chart" uri="{CE6537A1-D6FC-4f65-9D91-7224C49458BB}"/>
                <c:ext xmlns:c16="http://schemas.microsoft.com/office/drawing/2014/chart" uri="{C3380CC4-5D6E-409C-BE32-E72D297353CC}">
                  <c16:uniqueId val="{0000000A-D9D4-451E-83C0-6AF881CFEECF}"/>
                </c:ext>
              </c:extLst>
            </c:dLbl>
            <c:dLbl>
              <c:idx val="8"/>
              <c:delete val="1"/>
              <c:extLst>
                <c:ext xmlns:c15="http://schemas.microsoft.com/office/drawing/2012/chart" uri="{CE6537A1-D6FC-4f65-9D91-7224C49458BB}"/>
                <c:ext xmlns:c16="http://schemas.microsoft.com/office/drawing/2014/chart" uri="{C3380CC4-5D6E-409C-BE32-E72D297353CC}">
                  <c16:uniqueId val="{00000009-D9D4-451E-83C0-6AF881CFEECF}"/>
                </c:ext>
              </c:extLst>
            </c:dLbl>
            <c:dLbl>
              <c:idx val="9"/>
              <c:delete val="1"/>
              <c:extLst>
                <c:ext xmlns:c15="http://schemas.microsoft.com/office/drawing/2012/chart" uri="{CE6537A1-D6FC-4f65-9D91-7224C49458BB}"/>
                <c:ext xmlns:c16="http://schemas.microsoft.com/office/drawing/2014/chart" uri="{C3380CC4-5D6E-409C-BE32-E72D297353CC}">
                  <c16:uniqueId val="{0000000B-D9D4-451E-83C0-6AF881CFEECF}"/>
                </c:ext>
              </c:extLst>
            </c:dLbl>
            <c:dLbl>
              <c:idx val="10"/>
              <c:delete val="1"/>
              <c:extLst>
                <c:ext xmlns:c15="http://schemas.microsoft.com/office/drawing/2012/chart" uri="{CE6537A1-D6FC-4f65-9D91-7224C49458BB}"/>
                <c:ext xmlns:c16="http://schemas.microsoft.com/office/drawing/2014/chart" uri="{C3380CC4-5D6E-409C-BE32-E72D297353CC}">
                  <c16:uniqueId val="{0000000C-D9D4-451E-83C0-6AF881CFEECF}"/>
                </c:ext>
              </c:extLst>
            </c:dLbl>
            <c:dLbl>
              <c:idx val="11"/>
              <c:delete val="1"/>
              <c:extLst>
                <c:ext xmlns:c15="http://schemas.microsoft.com/office/drawing/2012/chart" uri="{CE6537A1-D6FC-4f65-9D91-7224C49458BB}"/>
                <c:ext xmlns:c16="http://schemas.microsoft.com/office/drawing/2014/chart" uri="{C3380CC4-5D6E-409C-BE32-E72D297353CC}">
                  <c16:uniqueId val="{0000000E-D9D4-451E-83C0-6AF881CFEECF}"/>
                </c:ext>
              </c:extLst>
            </c:dLbl>
            <c:dLbl>
              <c:idx val="12"/>
              <c:delete val="1"/>
              <c:extLst>
                <c:ext xmlns:c15="http://schemas.microsoft.com/office/drawing/2012/chart" uri="{CE6537A1-D6FC-4f65-9D91-7224C49458BB}"/>
                <c:ext xmlns:c16="http://schemas.microsoft.com/office/drawing/2014/chart" uri="{C3380CC4-5D6E-409C-BE32-E72D297353CC}">
                  <c16:uniqueId val="{0000000D-D9D4-451E-83C0-6AF881CFEECF}"/>
                </c:ext>
              </c:extLst>
            </c:dLbl>
            <c:dLbl>
              <c:idx val="13"/>
              <c:delete val="1"/>
              <c:extLst>
                <c:ext xmlns:c15="http://schemas.microsoft.com/office/drawing/2012/chart" uri="{CE6537A1-D6FC-4f65-9D91-7224C49458BB}"/>
                <c:ext xmlns:c16="http://schemas.microsoft.com/office/drawing/2014/chart" uri="{C3380CC4-5D6E-409C-BE32-E72D297353CC}">
                  <c16:uniqueId val="{00000010-D9D4-451E-83C0-6AF881CFEECF}"/>
                </c:ext>
              </c:extLst>
            </c:dLbl>
            <c:dLbl>
              <c:idx val="14"/>
              <c:delete val="1"/>
              <c:extLst>
                <c:ext xmlns:c15="http://schemas.microsoft.com/office/drawing/2012/chart" uri="{CE6537A1-D6FC-4f65-9D91-7224C49458BB}"/>
                <c:ext xmlns:c16="http://schemas.microsoft.com/office/drawing/2014/chart" uri="{C3380CC4-5D6E-409C-BE32-E72D297353CC}">
                  <c16:uniqueId val="{0000000F-D9D4-451E-83C0-6AF881CFEECF}"/>
                </c:ext>
              </c:extLst>
            </c:dLbl>
            <c:dLbl>
              <c:idx val="15"/>
              <c:delete val="1"/>
              <c:extLst>
                <c:ext xmlns:c15="http://schemas.microsoft.com/office/drawing/2012/chart" uri="{CE6537A1-D6FC-4f65-9D91-7224C49458BB}"/>
                <c:ext xmlns:c16="http://schemas.microsoft.com/office/drawing/2014/chart" uri="{C3380CC4-5D6E-409C-BE32-E72D297353CC}">
                  <c16:uniqueId val="{00000012-D9D4-451E-83C0-6AF881CFEECF}"/>
                </c:ext>
              </c:extLst>
            </c:dLbl>
            <c:dLbl>
              <c:idx val="16"/>
              <c:delete val="1"/>
              <c:extLst>
                <c:ext xmlns:c15="http://schemas.microsoft.com/office/drawing/2012/chart" uri="{CE6537A1-D6FC-4f65-9D91-7224C49458BB}"/>
                <c:ext xmlns:c16="http://schemas.microsoft.com/office/drawing/2014/chart" uri="{C3380CC4-5D6E-409C-BE32-E72D297353CC}">
                  <c16:uniqueId val="{00000011-D9D4-451E-83C0-6AF881CFEECF}"/>
                </c:ext>
              </c:extLst>
            </c:dLbl>
            <c:dLbl>
              <c:idx val="17"/>
              <c:delete val="1"/>
              <c:extLst>
                <c:ext xmlns:c15="http://schemas.microsoft.com/office/drawing/2012/chart" uri="{CE6537A1-D6FC-4f65-9D91-7224C49458BB}"/>
                <c:ext xmlns:c16="http://schemas.microsoft.com/office/drawing/2014/chart" uri="{C3380CC4-5D6E-409C-BE32-E72D297353CC}">
                  <c16:uniqueId val="{00000014-D9D4-451E-83C0-6AF881CFEECF}"/>
                </c:ext>
              </c:extLst>
            </c:dLbl>
            <c:dLbl>
              <c:idx val="18"/>
              <c:delete val="1"/>
              <c:extLst>
                <c:ext xmlns:c15="http://schemas.microsoft.com/office/drawing/2012/chart" uri="{CE6537A1-D6FC-4f65-9D91-7224C49458BB}"/>
                <c:ext xmlns:c16="http://schemas.microsoft.com/office/drawing/2014/chart" uri="{C3380CC4-5D6E-409C-BE32-E72D297353CC}">
                  <c16:uniqueId val="{00000013-D9D4-451E-83C0-6AF881CFEECF}"/>
                </c:ext>
              </c:extLst>
            </c:dLbl>
            <c:dLbl>
              <c:idx val="19"/>
              <c:delete val="1"/>
              <c:extLst>
                <c:ext xmlns:c15="http://schemas.microsoft.com/office/drawing/2012/chart" uri="{CE6537A1-D6FC-4f65-9D91-7224C49458BB}"/>
                <c:ext xmlns:c16="http://schemas.microsoft.com/office/drawing/2014/chart" uri="{C3380CC4-5D6E-409C-BE32-E72D297353CC}">
                  <c16:uniqueId val="{00000015-D9D4-451E-83C0-6AF881CFEECF}"/>
                </c:ext>
              </c:extLst>
            </c:dLbl>
            <c:dLbl>
              <c:idx val="20"/>
              <c:delete val="1"/>
              <c:extLst>
                <c:ext xmlns:c15="http://schemas.microsoft.com/office/drawing/2012/chart" uri="{CE6537A1-D6FC-4f65-9D91-7224C49458BB}"/>
                <c:ext xmlns:c16="http://schemas.microsoft.com/office/drawing/2014/chart" uri="{C3380CC4-5D6E-409C-BE32-E72D297353CC}">
                  <c16:uniqueId val="{00000017-D9D4-451E-83C0-6AF881CFEECF}"/>
                </c:ext>
              </c:extLst>
            </c:dLbl>
            <c:dLbl>
              <c:idx val="21"/>
              <c:delete val="1"/>
              <c:extLst>
                <c:ext xmlns:c15="http://schemas.microsoft.com/office/drawing/2012/chart" uri="{CE6537A1-D6FC-4f65-9D91-7224C49458BB}"/>
                <c:ext xmlns:c16="http://schemas.microsoft.com/office/drawing/2014/chart" uri="{C3380CC4-5D6E-409C-BE32-E72D297353CC}">
                  <c16:uniqueId val="{00000016-D9D4-451E-83C0-6AF881CFEECF}"/>
                </c:ext>
              </c:extLst>
            </c:dLbl>
            <c:dLbl>
              <c:idx val="22"/>
              <c:delete val="1"/>
              <c:extLst>
                <c:ext xmlns:c15="http://schemas.microsoft.com/office/drawing/2012/chart" uri="{CE6537A1-D6FC-4f65-9D91-7224C49458BB}"/>
                <c:ext xmlns:c16="http://schemas.microsoft.com/office/drawing/2014/chart" uri="{C3380CC4-5D6E-409C-BE32-E72D297353CC}">
                  <c16:uniqueId val="{00000018-D9D4-451E-83C0-6AF881CFEECF}"/>
                </c:ext>
              </c:extLst>
            </c:dLbl>
            <c:dLbl>
              <c:idx val="23"/>
              <c:delete val="1"/>
              <c:extLst>
                <c:ext xmlns:c15="http://schemas.microsoft.com/office/drawing/2012/chart" uri="{CE6537A1-D6FC-4f65-9D91-7224C49458BB}"/>
                <c:ext xmlns:c16="http://schemas.microsoft.com/office/drawing/2014/chart" uri="{C3380CC4-5D6E-409C-BE32-E72D297353CC}">
                  <c16:uniqueId val="{00000019-D9D4-451E-83C0-6AF881CFEECF}"/>
                </c:ext>
              </c:extLst>
            </c:dLbl>
            <c:dLbl>
              <c:idx val="24"/>
              <c:delete val="1"/>
              <c:extLst>
                <c:ext xmlns:c15="http://schemas.microsoft.com/office/drawing/2012/chart" uri="{CE6537A1-D6FC-4f65-9D91-7224C49458BB}"/>
                <c:ext xmlns:c16="http://schemas.microsoft.com/office/drawing/2014/chart" uri="{C3380CC4-5D6E-409C-BE32-E72D297353CC}">
                  <c16:uniqueId val="{0000001B-D9D4-451E-83C0-6AF881CFEECF}"/>
                </c:ext>
              </c:extLst>
            </c:dLbl>
            <c:dLbl>
              <c:idx val="25"/>
              <c:delete val="1"/>
              <c:extLst>
                <c:ext xmlns:c15="http://schemas.microsoft.com/office/drawing/2012/chart" uri="{CE6537A1-D6FC-4f65-9D91-7224C49458BB}"/>
                <c:ext xmlns:c16="http://schemas.microsoft.com/office/drawing/2014/chart" uri="{C3380CC4-5D6E-409C-BE32-E72D297353CC}">
                  <c16:uniqueId val="{0000001A-D9D4-451E-83C0-6AF881CFEECF}"/>
                </c:ext>
              </c:extLst>
            </c:dLbl>
            <c:dLbl>
              <c:idx val="26"/>
              <c:layout>
                <c:manualLayout>
                  <c:x val="0"/>
                  <c:y val="-6.94444444444443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D9D4-451E-83C0-6AF881CFEE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'3D'!$A$2:$A$28</c:f>
              <c:strCache>
                <c:ptCount val="27"/>
                <c:pt idx="0">
                  <c:v>SP</c:v>
                </c:pt>
                <c:pt idx="1">
                  <c:v>RJ</c:v>
                </c:pt>
                <c:pt idx="2">
                  <c:v>MG</c:v>
                </c:pt>
                <c:pt idx="3">
                  <c:v>RS</c:v>
                </c:pt>
                <c:pt idx="4">
                  <c:v>PR</c:v>
                </c:pt>
                <c:pt idx="5">
                  <c:v>SC</c:v>
                </c:pt>
                <c:pt idx="6">
                  <c:v>BA</c:v>
                </c:pt>
                <c:pt idx="7">
                  <c:v>DF</c:v>
                </c:pt>
                <c:pt idx="8">
                  <c:v>ES</c:v>
                </c:pt>
                <c:pt idx="9">
                  <c:v>GO</c:v>
                </c:pt>
                <c:pt idx="10">
                  <c:v>PE</c:v>
                </c:pt>
                <c:pt idx="11">
                  <c:v>CE</c:v>
                </c:pt>
                <c:pt idx="12">
                  <c:v>PA</c:v>
                </c:pt>
                <c:pt idx="13">
                  <c:v>MT</c:v>
                </c:pt>
                <c:pt idx="14">
                  <c:v>MA</c:v>
                </c:pt>
                <c:pt idx="15">
                  <c:v>MS</c:v>
                </c:pt>
                <c:pt idx="16">
                  <c:v>PB</c:v>
                </c:pt>
                <c:pt idx="17">
                  <c:v>PI</c:v>
                </c:pt>
                <c:pt idx="18">
                  <c:v>RN</c:v>
                </c:pt>
                <c:pt idx="19">
                  <c:v>AL</c:v>
                </c:pt>
                <c:pt idx="20">
                  <c:v>SE</c:v>
                </c:pt>
                <c:pt idx="21">
                  <c:v>TO</c:v>
                </c:pt>
                <c:pt idx="22">
                  <c:v>RO</c:v>
                </c:pt>
                <c:pt idx="23">
                  <c:v>AM</c:v>
                </c:pt>
                <c:pt idx="24">
                  <c:v>AC</c:v>
                </c:pt>
                <c:pt idx="25">
                  <c:v>AP</c:v>
                </c:pt>
                <c:pt idx="26">
                  <c:v>RR</c:v>
                </c:pt>
              </c:strCache>
            </c:strRef>
          </c:cat>
          <c:val>
            <c:numRef>
              <c:f>'3D'!$D$2:$D$28</c:f>
              <c:numCache>
                <c:formatCode>General</c:formatCode>
                <c:ptCount val="27"/>
                <c:pt idx="0">
                  <c:v>15.11</c:v>
                </c:pt>
                <c:pt idx="1">
                  <c:v>20.91</c:v>
                </c:pt>
                <c:pt idx="2">
                  <c:v>20.63</c:v>
                </c:pt>
                <c:pt idx="3">
                  <c:v>21.61</c:v>
                </c:pt>
                <c:pt idx="4">
                  <c:v>20.47</c:v>
                </c:pt>
                <c:pt idx="5">
                  <c:v>21.51</c:v>
                </c:pt>
                <c:pt idx="6">
                  <c:v>26.49</c:v>
                </c:pt>
                <c:pt idx="7">
                  <c:v>21.07</c:v>
                </c:pt>
                <c:pt idx="8">
                  <c:v>22.03</c:v>
                </c:pt>
                <c:pt idx="9">
                  <c:v>22.56</c:v>
                </c:pt>
                <c:pt idx="10">
                  <c:v>32.69</c:v>
                </c:pt>
                <c:pt idx="11">
                  <c:v>32.729999999999997</c:v>
                </c:pt>
                <c:pt idx="12">
                  <c:v>35.630000000000003</c:v>
                </c:pt>
                <c:pt idx="13">
                  <c:v>28</c:v>
                </c:pt>
                <c:pt idx="14">
                  <c:v>38.49</c:v>
                </c:pt>
                <c:pt idx="15">
                  <c:v>23.35</c:v>
                </c:pt>
                <c:pt idx="16">
                  <c:v>43.09</c:v>
                </c:pt>
                <c:pt idx="17">
                  <c:v>39.119999999999997</c:v>
                </c:pt>
                <c:pt idx="18">
                  <c:v>35.72</c:v>
                </c:pt>
                <c:pt idx="19">
                  <c:v>35.869999999999997</c:v>
                </c:pt>
                <c:pt idx="20">
                  <c:v>36.57</c:v>
                </c:pt>
                <c:pt idx="21">
                  <c:v>37.44</c:v>
                </c:pt>
                <c:pt idx="22">
                  <c:v>41.33</c:v>
                </c:pt>
                <c:pt idx="23">
                  <c:v>33.31</c:v>
                </c:pt>
                <c:pt idx="24">
                  <c:v>40.049999999999997</c:v>
                </c:pt>
                <c:pt idx="25">
                  <c:v>34.159999999999997</c:v>
                </c:pt>
                <c:pt idx="26">
                  <c:v>43.09</c:v>
                </c:pt>
              </c:numCache>
            </c:numRef>
          </c:val>
          <c:extLst>
            <c:ext xmlns:c16="http://schemas.microsoft.com/office/drawing/2014/chart" uri="{C3380CC4-5D6E-409C-BE32-E72D297353CC}">
              <c16:uniqueId val="{00000001-D9D4-451E-83C0-6AF881CFEECF}"/>
            </c:ext>
          </c:extLst>
        </c:ser>
        <c:dLbls>
          <c:showLegendKey val="0"/>
          <c:showVal val="0"/>
          <c:showCatName val="0"/>
          <c:showSerName val="0"/>
          <c:showPercent val="0"/>
          <c:showBubbleSize val="0"/>
        </c:dLbls>
        <c:gapWidth val="150"/>
        <c:overlap val="100"/>
        <c:axId val="1823331072"/>
        <c:axId val="1823332512"/>
      </c:barChart>
      <c:catAx>
        <c:axId val="182333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32512"/>
        <c:crosses val="autoZero"/>
        <c:auto val="1"/>
        <c:lblAlgn val="ctr"/>
        <c:lblOffset val="100"/>
        <c:noMultiLvlLbl val="0"/>
      </c:catAx>
      <c:valAx>
        <c:axId val="18233325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3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2000" b="1"/>
              <a:t>Delivery Time by State</a:t>
            </a:r>
            <a:endParaRPr lang="en-US" sz="1600" b="1" i="0" u="none" strike="noStrike" baseline="0">
              <a:solidFill>
                <a:sysClr val="windowText" lastClr="000000">
                  <a:lumMod val="65000"/>
                  <a:lumOff val="35000"/>
                </a:sysClr>
              </a:solidFill>
              <a:latin typeface="Aptos Narrow" panose="02110004020202020204"/>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'3A'!$C$1</c:f>
              <c:strCache>
                <c:ptCount val="1"/>
                <c:pt idx="0">
                  <c:v>Avg Delivery Days</c:v>
                </c:pt>
              </c:strCache>
            </c:strRef>
          </c:tx>
          <c:spPr>
            <a:solidFill>
              <a:schemeClr val="accent6">
                <a:lumMod val="7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2E66-4CB1-B6AD-E3F5DB3C04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'3A'!$B$2:$B$28</c:f>
              <c:strCache>
                <c:ptCount val="27"/>
                <c:pt idx="0">
                  <c:v>Roraima</c:v>
                </c:pt>
                <c:pt idx="1">
                  <c:v>Amapá</c:v>
                </c:pt>
                <c:pt idx="2">
                  <c:v>Amazonas</c:v>
                </c:pt>
                <c:pt idx="3">
                  <c:v>Alagoas</c:v>
                </c:pt>
                <c:pt idx="4">
                  <c:v>Pará</c:v>
                </c:pt>
                <c:pt idx="5">
                  <c:v>Maranhão</c:v>
                </c:pt>
                <c:pt idx="6">
                  <c:v>Sergipe</c:v>
                </c:pt>
                <c:pt idx="7">
                  <c:v>Ceará</c:v>
                </c:pt>
                <c:pt idx="8">
                  <c:v>Acre</c:v>
                </c:pt>
                <c:pt idx="9">
                  <c:v>Paraíba</c:v>
                </c:pt>
                <c:pt idx="10">
                  <c:v>Piauí</c:v>
                </c:pt>
                <c:pt idx="11">
                  <c:v>Bahia</c:v>
                </c:pt>
                <c:pt idx="12">
                  <c:v>Rondônia</c:v>
                </c:pt>
                <c:pt idx="13">
                  <c:v>Rio Grande do Norte</c:v>
                </c:pt>
                <c:pt idx="14">
                  <c:v>Pernambuco</c:v>
                </c:pt>
                <c:pt idx="15">
                  <c:v>Mato Grosso</c:v>
                </c:pt>
                <c:pt idx="16">
                  <c:v>Tocantins</c:v>
                </c:pt>
                <c:pt idx="17">
                  <c:v>Espírito Santo</c:v>
                </c:pt>
                <c:pt idx="18">
                  <c:v>Goiás</c:v>
                </c:pt>
                <c:pt idx="19">
                  <c:v>Mato Grosso do Sul</c:v>
                </c:pt>
                <c:pt idx="20">
                  <c:v>Rio Grande do Sul</c:v>
                </c:pt>
                <c:pt idx="21">
                  <c:v>Rio de Janeiro</c:v>
                </c:pt>
                <c:pt idx="22">
                  <c:v>Santa Catarina</c:v>
                </c:pt>
                <c:pt idx="23">
                  <c:v>Distrito Federal</c:v>
                </c:pt>
                <c:pt idx="24">
                  <c:v>Minas Gerais</c:v>
                </c:pt>
                <c:pt idx="25">
                  <c:v>Paraná</c:v>
                </c:pt>
                <c:pt idx="26">
                  <c:v>São Paulo</c:v>
                </c:pt>
              </c:strCache>
            </c:strRef>
          </c:cat>
          <c:val>
            <c:numRef>
              <c:f>'3A'!$C$2:$C$28</c:f>
              <c:numCache>
                <c:formatCode>0.0</c:formatCode>
                <c:ptCount val="27"/>
                <c:pt idx="0">
                  <c:v>29.34</c:v>
                </c:pt>
                <c:pt idx="1">
                  <c:v>27.18</c:v>
                </c:pt>
                <c:pt idx="2">
                  <c:v>26.36</c:v>
                </c:pt>
                <c:pt idx="3">
                  <c:v>24.5</c:v>
                </c:pt>
                <c:pt idx="4">
                  <c:v>23.73</c:v>
                </c:pt>
                <c:pt idx="5">
                  <c:v>21.51</c:v>
                </c:pt>
                <c:pt idx="6">
                  <c:v>21.46</c:v>
                </c:pt>
                <c:pt idx="7">
                  <c:v>21.2</c:v>
                </c:pt>
                <c:pt idx="8">
                  <c:v>21</c:v>
                </c:pt>
                <c:pt idx="9">
                  <c:v>20.39</c:v>
                </c:pt>
                <c:pt idx="10">
                  <c:v>19.39</c:v>
                </c:pt>
                <c:pt idx="11">
                  <c:v>19.28</c:v>
                </c:pt>
                <c:pt idx="12">
                  <c:v>19.28</c:v>
                </c:pt>
                <c:pt idx="13">
                  <c:v>19.22</c:v>
                </c:pt>
                <c:pt idx="14">
                  <c:v>18.399999999999999</c:v>
                </c:pt>
                <c:pt idx="15">
                  <c:v>18</c:v>
                </c:pt>
                <c:pt idx="16">
                  <c:v>17.600000000000001</c:v>
                </c:pt>
                <c:pt idx="17">
                  <c:v>15.72</c:v>
                </c:pt>
                <c:pt idx="18">
                  <c:v>15.54</c:v>
                </c:pt>
                <c:pt idx="19">
                  <c:v>15.54</c:v>
                </c:pt>
                <c:pt idx="20">
                  <c:v>15.25</c:v>
                </c:pt>
                <c:pt idx="21">
                  <c:v>15.24</c:v>
                </c:pt>
                <c:pt idx="22">
                  <c:v>14.91</c:v>
                </c:pt>
                <c:pt idx="23">
                  <c:v>12.9</c:v>
                </c:pt>
                <c:pt idx="24">
                  <c:v>11.95</c:v>
                </c:pt>
                <c:pt idx="25">
                  <c:v>11.94</c:v>
                </c:pt>
                <c:pt idx="26">
                  <c:v>8.6999999999999993</c:v>
                </c:pt>
              </c:numCache>
            </c:numRef>
          </c:val>
          <c:extLst>
            <c:ext xmlns:c16="http://schemas.microsoft.com/office/drawing/2014/chart" uri="{C3380CC4-5D6E-409C-BE32-E72D297353CC}">
              <c16:uniqueId val="{00000002-2E66-4CB1-B6AD-E3F5DB3C04B9}"/>
            </c:ext>
          </c:extLst>
        </c:ser>
        <c:dLbls>
          <c:showLegendKey val="0"/>
          <c:showVal val="0"/>
          <c:showCatName val="0"/>
          <c:showSerName val="0"/>
          <c:showPercent val="0"/>
          <c:showBubbleSize val="0"/>
        </c:dLbls>
        <c:gapWidth val="125"/>
        <c:axId val="1719305472"/>
        <c:axId val="1719309312"/>
      </c:barChart>
      <c:catAx>
        <c:axId val="17193054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09312"/>
        <c:crosses val="autoZero"/>
        <c:auto val="1"/>
        <c:lblAlgn val="ctr"/>
        <c:lblOffset val="100"/>
        <c:noMultiLvlLbl val="0"/>
      </c:catAx>
      <c:valAx>
        <c:axId val="1719309312"/>
        <c:scaling>
          <c:orientation val="minMax"/>
        </c:scaling>
        <c:delete val="0"/>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054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Late vs On-Time Deliveries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'3B'!$B$1</c:f>
              <c:strCache>
                <c:ptCount val="1"/>
                <c:pt idx="0">
                  <c:v>Total Orders</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790D-401D-BED8-09359680C0CB}"/>
              </c:ext>
            </c:extLst>
          </c:dPt>
          <c:dPt>
            <c:idx val="1"/>
            <c:bubble3D val="0"/>
            <c:spPr>
              <a:solidFill>
                <a:schemeClr val="accent2"/>
              </a:solidFill>
              <a:ln w="19050">
                <a:noFill/>
              </a:ln>
              <a:effectLst/>
            </c:spPr>
            <c:extLst>
              <c:ext xmlns:c16="http://schemas.microsoft.com/office/drawing/2014/chart" uri="{C3380CC4-5D6E-409C-BE32-E72D297353CC}">
                <c16:uniqueId val="{00000003-790D-401D-BED8-09359680C0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'3B'!$A$2:$A$3</c:f>
              <c:strCache>
                <c:ptCount val="2"/>
                <c:pt idx="0">
                  <c:v>On Time</c:v>
                </c:pt>
                <c:pt idx="1">
                  <c:v>Late</c:v>
                </c:pt>
              </c:strCache>
            </c:strRef>
          </c:cat>
          <c:val>
            <c:numRef>
              <c:f>'3B'!$B$2:$B$3</c:f>
              <c:numCache>
                <c:formatCode>General</c:formatCode>
                <c:ptCount val="2"/>
                <c:pt idx="0">
                  <c:v>88649</c:v>
                </c:pt>
                <c:pt idx="1">
                  <c:v>7827</c:v>
                </c:pt>
              </c:numCache>
            </c:numRef>
          </c:val>
          <c:extLst>
            <c:ext xmlns:c16="http://schemas.microsoft.com/office/drawing/2014/chart" uri="{C3380CC4-5D6E-409C-BE32-E72D297353CC}">
              <c16:uniqueId val="{00000004-790D-401D-BED8-09359680C0C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Geographical Distribution</a:t>
            </a:r>
            <a:endParaRPr lang="en-PH"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stacked"/>
        <c:varyColors val="0"/>
        <c:ser>
          <c:idx val="0"/>
          <c:order val="0"/>
          <c:tx>
            <c:strRef>
              <c:f>'3D'!$B$1</c:f>
              <c:strCache>
                <c:ptCount val="1"/>
                <c:pt idx="0">
                  <c:v>Total Orders</c:v>
                </c:pt>
              </c:strCache>
            </c:strRef>
          </c:tx>
          <c:spPr>
            <a:solidFill>
              <a:schemeClr val="accent6">
                <a:lumMod val="75000"/>
              </a:schemeClr>
            </a:solidFill>
            <a:ln>
              <a:solidFill>
                <a:schemeClr val="accent6">
                  <a:lumMod val="75000"/>
                </a:schemeClr>
              </a:solidFill>
            </a:ln>
            <a:effectLst/>
          </c:spPr>
          <c:invertIfNegative val="0"/>
          <c:dPt>
            <c:idx val="0"/>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37-89EA-4016-B9E6-EB31565FF01C}"/>
              </c:ext>
            </c:extLst>
          </c:dPt>
          <c:dLbls>
            <c:dLbl>
              <c:idx val="1"/>
              <c:delete val="1"/>
              <c:extLst>
                <c:ext xmlns:c15="http://schemas.microsoft.com/office/drawing/2012/chart" uri="{CE6537A1-D6FC-4f65-9D91-7224C49458BB}"/>
                <c:ext xmlns:c16="http://schemas.microsoft.com/office/drawing/2014/chart" uri="{C3380CC4-5D6E-409C-BE32-E72D297353CC}">
                  <c16:uniqueId val="{00000000-89EA-4016-B9E6-EB31565FF01C}"/>
                </c:ext>
              </c:extLst>
            </c:dLbl>
            <c:dLbl>
              <c:idx val="2"/>
              <c:delete val="1"/>
              <c:extLst>
                <c:ext xmlns:c15="http://schemas.microsoft.com/office/drawing/2012/chart" uri="{CE6537A1-D6FC-4f65-9D91-7224C49458BB}"/>
                <c:ext xmlns:c16="http://schemas.microsoft.com/office/drawing/2014/chart" uri="{C3380CC4-5D6E-409C-BE32-E72D297353CC}">
                  <c16:uniqueId val="{00000001-89EA-4016-B9E6-EB31565FF01C}"/>
                </c:ext>
              </c:extLst>
            </c:dLbl>
            <c:dLbl>
              <c:idx val="3"/>
              <c:delete val="1"/>
              <c:extLst>
                <c:ext xmlns:c15="http://schemas.microsoft.com/office/drawing/2012/chart" uri="{CE6537A1-D6FC-4f65-9D91-7224C49458BB}"/>
                <c:ext xmlns:c16="http://schemas.microsoft.com/office/drawing/2014/chart" uri="{C3380CC4-5D6E-409C-BE32-E72D297353CC}">
                  <c16:uniqueId val="{00000002-89EA-4016-B9E6-EB31565FF01C}"/>
                </c:ext>
              </c:extLst>
            </c:dLbl>
            <c:dLbl>
              <c:idx val="4"/>
              <c:delete val="1"/>
              <c:extLst>
                <c:ext xmlns:c15="http://schemas.microsoft.com/office/drawing/2012/chart" uri="{CE6537A1-D6FC-4f65-9D91-7224C49458BB}"/>
                <c:ext xmlns:c16="http://schemas.microsoft.com/office/drawing/2014/chart" uri="{C3380CC4-5D6E-409C-BE32-E72D297353CC}">
                  <c16:uniqueId val="{00000003-89EA-4016-B9E6-EB31565FF01C}"/>
                </c:ext>
              </c:extLst>
            </c:dLbl>
            <c:dLbl>
              <c:idx val="5"/>
              <c:delete val="1"/>
              <c:extLst>
                <c:ext xmlns:c15="http://schemas.microsoft.com/office/drawing/2012/chart" uri="{CE6537A1-D6FC-4f65-9D91-7224C49458BB}"/>
                <c:ext xmlns:c16="http://schemas.microsoft.com/office/drawing/2014/chart" uri="{C3380CC4-5D6E-409C-BE32-E72D297353CC}">
                  <c16:uniqueId val="{00000004-89EA-4016-B9E6-EB31565FF01C}"/>
                </c:ext>
              </c:extLst>
            </c:dLbl>
            <c:dLbl>
              <c:idx val="6"/>
              <c:delete val="1"/>
              <c:extLst>
                <c:ext xmlns:c15="http://schemas.microsoft.com/office/drawing/2012/chart" uri="{CE6537A1-D6FC-4f65-9D91-7224C49458BB}"/>
                <c:ext xmlns:c16="http://schemas.microsoft.com/office/drawing/2014/chart" uri="{C3380CC4-5D6E-409C-BE32-E72D297353CC}">
                  <c16:uniqueId val="{00000005-89EA-4016-B9E6-EB31565FF01C}"/>
                </c:ext>
              </c:extLst>
            </c:dLbl>
            <c:dLbl>
              <c:idx val="7"/>
              <c:delete val="1"/>
              <c:extLst>
                <c:ext xmlns:c15="http://schemas.microsoft.com/office/drawing/2012/chart" uri="{CE6537A1-D6FC-4f65-9D91-7224C49458BB}"/>
                <c:ext xmlns:c16="http://schemas.microsoft.com/office/drawing/2014/chart" uri="{C3380CC4-5D6E-409C-BE32-E72D297353CC}">
                  <c16:uniqueId val="{00000006-89EA-4016-B9E6-EB31565FF01C}"/>
                </c:ext>
              </c:extLst>
            </c:dLbl>
            <c:dLbl>
              <c:idx val="8"/>
              <c:delete val="1"/>
              <c:extLst>
                <c:ext xmlns:c15="http://schemas.microsoft.com/office/drawing/2012/chart" uri="{CE6537A1-D6FC-4f65-9D91-7224C49458BB}"/>
                <c:ext xmlns:c16="http://schemas.microsoft.com/office/drawing/2014/chart" uri="{C3380CC4-5D6E-409C-BE32-E72D297353CC}">
                  <c16:uniqueId val="{00000007-89EA-4016-B9E6-EB31565FF01C}"/>
                </c:ext>
              </c:extLst>
            </c:dLbl>
            <c:dLbl>
              <c:idx val="9"/>
              <c:delete val="1"/>
              <c:extLst>
                <c:ext xmlns:c15="http://schemas.microsoft.com/office/drawing/2012/chart" uri="{CE6537A1-D6FC-4f65-9D91-7224C49458BB}"/>
                <c:ext xmlns:c16="http://schemas.microsoft.com/office/drawing/2014/chart" uri="{C3380CC4-5D6E-409C-BE32-E72D297353CC}">
                  <c16:uniqueId val="{00000008-89EA-4016-B9E6-EB31565FF01C}"/>
                </c:ext>
              </c:extLst>
            </c:dLbl>
            <c:dLbl>
              <c:idx val="10"/>
              <c:delete val="1"/>
              <c:extLst>
                <c:ext xmlns:c15="http://schemas.microsoft.com/office/drawing/2012/chart" uri="{CE6537A1-D6FC-4f65-9D91-7224C49458BB}"/>
                <c:ext xmlns:c16="http://schemas.microsoft.com/office/drawing/2014/chart" uri="{C3380CC4-5D6E-409C-BE32-E72D297353CC}">
                  <c16:uniqueId val="{00000009-89EA-4016-B9E6-EB31565FF01C}"/>
                </c:ext>
              </c:extLst>
            </c:dLbl>
            <c:dLbl>
              <c:idx val="11"/>
              <c:delete val="1"/>
              <c:extLst>
                <c:ext xmlns:c15="http://schemas.microsoft.com/office/drawing/2012/chart" uri="{CE6537A1-D6FC-4f65-9D91-7224C49458BB}"/>
                <c:ext xmlns:c16="http://schemas.microsoft.com/office/drawing/2014/chart" uri="{C3380CC4-5D6E-409C-BE32-E72D297353CC}">
                  <c16:uniqueId val="{0000000A-89EA-4016-B9E6-EB31565FF01C}"/>
                </c:ext>
              </c:extLst>
            </c:dLbl>
            <c:dLbl>
              <c:idx val="12"/>
              <c:delete val="1"/>
              <c:extLst>
                <c:ext xmlns:c15="http://schemas.microsoft.com/office/drawing/2012/chart" uri="{CE6537A1-D6FC-4f65-9D91-7224C49458BB}"/>
                <c:ext xmlns:c16="http://schemas.microsoft.com/office/drawing/2014/chart" uri="{C3380CC4-5D6E-409C-BE32-E72D297353CC}">
                  <c16:uniqueId val="{0000000B-89EA-4016-B9E6-EB31565FF01C}"/>
                </c:ext>
              </c:extLst>
            </c:dLbl>
            <c:dLbl>
              <c:idx val="13"/>
              <c:delete val="1"/>
              <c:extLst>
                <c:ext xmlns:c15="http://schemas.microsoft.com/office/drawing/2012/chart" uri="{CE6537A1-D6FC-4f65-9D91-7224C49458BB}"/>
                <c:ext xmlns:c16="http://schemas.microsoft.com/office/drawing/2014/chart" uri="{C3380CC4-5D6E-409C-BE32-E72D297353CC}">
                  <c16:uniqueId val="{0000000C-89EA-4016-B9E6-EB31565FF01C}"/>
                </c:ext>
              </c:extLst>
            </c:dLbl>
            <c:dLbl>
              <c:idx val="14"/>
              <c:delete val="1"/>
              <c:extLst>
                <c:ext xmlns:c15="http://schemas.microsoft.com/office/drawing/2012/chart" uri="{CE6537A1-D6FC-4f65-9D91-7224C49458BB}"/>
                <c:ext xmlns:c16="http://schemas.microsoft.com/office/drawing/2014/chart" uri="{C3380CC4-5D6E-409C-BE32-E72D297353CC}">
                  <c16:uniqueId val="{0000000D-89EA-4016-B9E6-EB31565FF01C}"/>
                </c:ext>
              </c:extLst>
            </c:dLbl>
            <c:dLbl>
              <c:idx val="15"/>
              <c:delete val="1"/>
              <c:extLst>
                <c:ext xmlns:c15="http://schemas.microsoft.com/office/drawing/2012/chart" uri="{CE6537A1-D6FC-4f65-9D91-7224C49458BB}"/>
                <c:ext xmlns:c16="http://schemas.microsoft.com/office/drawing/2014/chart" uri="{C3380CC4-5D6E-409C-BE32-E72D297353CC}">
                  <c16:uniqueId val="{0000000E-89EA-4016-B9E6-EB31565FF01C}"/>
                </c:ext>
              </c:extLst>
            </c:dLbl>
            <c:dLbl>
              <c:idx val="16"/>
              <c:delete val="1"/>
              <c:extLst>
                <c:ext xmlns:c15="http://schemas.microsoft.com/office/drawing/2012/chart" uri="{CE6537A1-D6FC-4f65-9D91-7224C49458BB}"/>
                <c:ext xmlns:c16="http://schemas.microsoft.com/office/drawing/2014/chart" uri="{C3380CC4-5D6E-409C-BE32-E72D297353CC}">
                  <c16:uniqueId val="{0000000F-89EA-4016-B9E6-EB31565FF01C}"/>
                </c:ext>
              </c:extLst>
            </c:dLbl>
            <c:dLbl>
              <c:idx val="17"/>
              <c:delete val="1"/>
              <c:extLst>
                <c:ext xmlns:c15="http://schemas.microsoft.com/office/drawing/2012/chart" uri="{CE6537A1-D6FC-4f65-9D91-7224C49458BB}"/>
                <c:ext xmlns:c16="http://schemas.microsoft.com/office/drawing/2014/chart" uri="{C3380CC4-5D6E-409C-BE32-E72D297353CC}">
                  <c16:uniqueId val="{00000010-89EA-4016-B9E6-EB31565FF01C}"/>
                </c:ext>
              </c:extLst>
            </c:dLbl>
            <c:dLbl>
              <c:idx val="18"/>
              <c:delete val="1"/>
              <c:extLst>
                <c:ext xmlns:c15="http://schemas.microsoft.com/office/drawing/2012/chart" uri="{CE6537A1-D6FC-4f65-9D91-7224C49458BB}"/>
                <c:ext xmlns:c16="http://schemas.microsoft.com/office/drawing/2014/chart" uri="{C3380CC4-5D6E-409C-BE32-E72D297353CC}">
                  <c16:uniqueId val="{00000011-89EA-4016-B9E6-EB31565FF01C}"/>
                </c:ext>
              </c:extLst>
            </c:dLbl>
            <c:dLbl>
              <c:idx val="19"/>
              <c:delete val="1"/>
              <c:extLst>
                <c:ext xmlns:c15="http://schemas.microsoft.com/office/drawing/2012/chart" uri="{CE6537A1-D6FC-4f65-9D91-7224C49458BB}"/>
                <c:ext xmlns:c16="http://schemas.microsoft.com/office/drawing/2014/chart" uri="{C3380CC4-5D6E-409C-BE32-E72D297353CC}">
                  <c16:uniqueId val="{00000012-89EA-4016-B9E6-EB31565FF01C}"/>
                </c:ext>
              </c:extLst>
            </c:dLbl>
            <c:dLbl>
              <c:idx val="20"/>
              <c:delete val="1"/>
              <c:extLst>
                <c:ext xmlns:c15="http://schemas.microsoft.com/office/drawing/2012/chart" uri="{CE6537A1-D6FC-4f65-9D91-7224C49458BB}"/>
                <c:ext xmlns:c16="http://schemas.microsoft.com/office/drawing/2014/chart" uri="{C3380CC4-5D6E-409C-BE32-E72D297353CC}">
                  <c16:uniqueId val="{00000013-89EA-4016-B9E6-EB31565FF01C}"/>
                </c:ext>
              </c:extLst>
            </c:dLbl>
            <c:dLbl>
              <c:idx val="21"/>
              <c:delete val="1"/>
              <c:extLst>
                <c:ext xmlns:c15="http://schemas.microsoft.com/office/drawing/2012/chart" uri="{CE6537A1-D6FC-4f65-9D91-7224C49458BB}"/>
                <c:ext xmlns:c16="http://schemas.microsoft.com/office/drawing/2014/chart" uri="{C3380CC4-5D6E-409C-BE32-E72D297353CC}">
                  <c16:uniqueId val="{00000014-89EA-4016-B9E6-EB31565FF01C}"/>
                </c:ext>
              </c:extLst>
            </c:dLbl>
            <c:dLbl>
              <c:idx val="22"/>
              <c:delete val="1"/>
              <c:extLst>
                <c:ext xmlns:c15="http://schemas.microsoft.com/office/drawing/2012/chart" uri="{CE6537A1-D6FC-4f65-9D91-7224C49458BB}"/>
                <c:ext xmlns:c16="http://schemas.microsoft.com/office/drawing/2014/chart" uri="{C3380CC4-5D6E-409C-BE32-E72D297353CC}">
                  <c16:uniqueId val="{00000015-89EA-4016-B9E6-EB31565FF01C}"/>
                </c:ext>
              </c:extLst>
            </c:dLbl>
            <c:dLbl>
              <c:idx val="23"/>
              <c:delete val="1"/>
              <c:extLst>
                <c:ext xmlns:c15="http://schemas.microsoft.com/office/drawing/2012/chart" uri="{CE6537A1-D6FC-4f65-9D91-7224C49458BB}"/>
                <c:ext xmlns:c16="http://schemas.microsoft.com/office/drawing/2014/chart" uri="{C3380CC4-5D6E-409C-BE32-E72D297353CC}">
                  <c16:uniqueId val="{00000016-89EA-4016-B9E6-EB31565FF01C}"/>
                </c:ext>
              </c:extLst>
            </c:dLbl>
            <c:dLbl>
              <c:idx val="24"/>
              <c:delete val="1"/>
              <c:extLst>
                <c:ext xmlns:c15="http://schemas.microsoft.com/office/drawing/2012/chart" uri="{CE6537A1-D6FC-4f65-9D91-7224C49458BB}"/>
                <c:ext xmlns:c16="http://schemas.microsoft.com/office/drawing/2014/chart" uri="{C3380CC4-5D6E-409C-BE32-E72D297353CC}">
                  <c16:uniqueId val="{00000017-89EA-4016-B9E6-EB31565FF01C}"/>
                </c:ext>
              </c:extLst>
            </c:dLbl>
            <c:dLbl>
              <c:idx val="25"/>
              <c:delete val="1"/>
              <c:extLst>
                <c:ext xmlns:c15="http://schemas.microsoft.com/office/drawing/2012/chart" uri="{CE6537A1-D6FC-4f65-9D91-7224C49458BB}"/>
                <c:ext xmlns:c16="http://schemas.microsoft.com/office/drawing/2014/chart" uri="{C3380CC4-5D6E-409C-BE32-E72D297353CC}">
                  <c16:uniqueId val="{00000018-89EA-4016-B9E6-EB31565FF01C}"/>
                </c:ext>
              </c:extLst>
            </c:dLbl>
            <c:dLbl>
              <c:idx val="26"/>
              <c:layout>
                <c:manualLayout>
                  <c:x val="-2.0370135052831988E-16"/>
                  <c:y val="-1.85185185185186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89EA-4016-B9E6-EB31565FF0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'3D'!$A$2:$A$28</c:f>
              <c:strCache>
                <c:ptCount val="27"/>
                <c:pt idx="0">
                  <c:v>SP</c:v>
                </c:pt>
                <c:pt idx="1">
                  <c:v>RJ</c:v>
                </c:pt>
                <c:pt idx="2">
                  <c:v>MG</c:v>
                </c:pt>
                <c:pt idx="3">
                  <c:v>RS</c:v>
                </c:pt>
                <c:pt idx="4">
                  <c:v>PR</c:v>
                </c:pt>
                <c:pt idx="5">
                  <c:v>SC</c:v>
                </c:pt>
                <c:pt idx="6">
                  <c:v>BA</c:v>
                </c:pt>
                <c:pt idx="7">
                  <c:v>DF</c:v>
                </c:pt>
                <c:pt idx="8">
                  <c:v>ES</c:v>
                </c:pt>
                <c:pt idx="9">
                  <c:v>GO</c:v>
                </c:pt>
                <c:pt idx="10">
                  <c:v>PE</c:v>
                </c:pt>
                <c:pt idx="11">
                  <c:v>CE</c:v>
                </c:pt>
                <c:pt idx="12">
                  <c:v>PA</c:v>
                </c:pt>
                <c:pt idx="13">
                  <c:v>MT</c:v>
                </c:pt>
                <c:pt idx="14">
                  <c:v>MA</c:v>
                </c:pt>
                <c:pt idx="15">
                  <c:v>MS</c:v>
                </c:pt>
                <c:pt idx="16">
                  <c:v>PB</c:v>
                </c:pt>
                <c:pt idx="17">
                  <c:v>PI</c:v>
                </c:pt>
                <c:pt idx="18">
                  <c:v>RN</c:v>
                </c:pt>
                <c:pt idx="19">
                  <c:v>AL</c:v>
                </c:pt>
                <c:pt idx="20">
                  <c:v>SE</c:v>
                </c:pt>
                <c:pt idx="21">
                  <c:v>TO</c:v>
                </c:pt>
                <c:pt idx="22">
                  <c:v>RO</c:v>
                </c:pt>
                <c:pt idx="23">
                  <c:v>AM</c:v>
                </c:pt>
                <c:pt idx="24">
                  <c:v>AC</c:v>
                </c:pt>
                <c:pt idx="25">
                  <c:v>AP</c:v>
                </c:pt>
                <c:pt idx="26">
                  <c:v>RR</c:v>
                </c:pt>
              </c:strCache>
            </c:strRef>
          </c:cat>
          <c:val>
            <c:numRef>
              <c:f>'3D'!$B$2:$B$28</c:f>
              <c:numCache>
                <c:formatCode>_-* #,##0_-;\-* #,##0_-;_-* "-"??_-;_-@_-</c:formatCode>
                <c:ptCount val="27"/>
                <c:pt idx="0">
                  <c:v>40495</c:v>
                </c:pt>
                <c:pt idx="1">
                  <c:v>12353</c:v>
                </c:pt>
                <c:pt idx="2">
                  <c:v>11355</c:v>
                </c:pt>
                <c:pt idx="3">
                  <c:v>5344</c:v>
                </c:pt>
                <c:pt idx="4">
                  <c:v>4923</c:v>
                </c:pt>
                <c:pt idx="5">
                  <c:v>3547</c:v>
                </c:pt>
                <c:pt idx="6">
                  <c:v>3256</c:v>
                </c:pt>
                <c:pt idx="7">
                  <c:v>2080</c:v>
                </c:pt>
                <c:pt idx="8">
                  <c:v>1995</c:v>
                </c:pt>
                <c:pt idx="9">
                  <c:v>1957</c:v>
                </c:pt>
                <c:pt idx="10">
                  <c:v>1593</c:v>
                </c:pt>
                <c:pt idx="11">
                  <c:v>1279</c:v>
                </c:pt>
                <c:pt idx="12">
                  <c:v>946</c:v>
                </c:pt>
                <c:pt idx="13">
                  <c:v>886</c:v>
                </c:pt>
                <c:pt idx="14">
                  <c:v>717</c:v>
                </c:pt>
                <c:pt idx="15">
                  <c:v>701</c:v>
                </c:pt>
                <c:pt idx="16">
                  <c:v>517</c:v>
                </c:pt>
                <c:pt idx="17">
                  <c:v>476</c:v>
                </c:pt>
                <c:pt idx="18">
                  <c:v>474</c:v>
                </c:pt>
                <c:pt idx="19">
                  <c:v>397</c:v>
                </c:pt>
                <c:pt idx="20">
                  <c:v>335</c:v>
                </c:pt>
                <c:pt idx="21">
                  <c:v>274</c:v>
                </c:pt>
                <c:pt idx="22">
                  <c:v>243</c:v>
                </c:pt>
                <c:pt idx="23">
                  <c:v>145</c:v>
                </c:pt>
                <c:pt idx="24">
                  <c:v>80</c:v>
                </c:pt>
                <c:pt idx="25">
                  <c:v>67</c:v>
                </c:pt>
                <c:pt idx="26">
                  <c:v>41</c:v>
                </c:pt>
              </c:numCache>
            </c:numRef>
          </c:val>
          <c:extLst>
            <c:ext xmlns:c16="http://schemas.microsoft.com/office/drawing/2014/chart" uri="{C3380CC4-5D6E-409C-BE32-E72D297353CC}">
              <c16:uniqueId val="{0000001A-89EA-4016-B9E6-EB31565FF01C}"/>
            </c:ext>
          </c:extLst>
        </c:ser>
        <c:ser>
          <c:idx val="1"/>
          <c:order val="1"/>
          <c:tx>
            <c:strRef>
              <c:f>'3D'!$D$1</c:f>
              <c:strCache>
                <c:ptCount val="1"/>
                <c:pt idx="0">
                  <c:v>Avg Freight Cost</c:v>
                </c:pt>
              </c:strCache>
            </c:strRef>
          </c:tx>
          <c:spPr>
            <a:solidFill>
              <a:schemeClr val="accent2"/>
            </a:solidFill>
            <a:ln>
              <a:noFill/>
            </a:ln>
            <a:effectLst/>
          </c:spPr>
          <c:invertIfNegative val="0"/>
          <c:dLbls>
            <c:dLbl>
              <c:idx val="0"/>
              <c:layout>
                <c:manualLayout>
                  <c:x val="0"/>
                  <c:y val="-2.77777777777777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89EA-4016-B9E6-EB31565FF01C}"/>
                </c:ext>
              </c:extLst>
            </c:dLbl>
            <c:dLbl>
              <c:idx val="1"/>
              <c:delete val="1"/>
              <c:extLst>
                <c:ext xmlns:c15="http://schemas.microsoft.com/office/drawing/2012/chart" uri="{CE6537A1-D6FC-4f65-9D91-7224C49458BB}"/>
                <c:ext xmlns:c16="http://schemas.microsoft.com/office/drawing/2014/chart" uri="{C3380CC4-5D6E-409C-BE32-E72D297353CC}">
                  <c16:uniqueId val="{0000001C-89EA-4016-B9E6-EB31565FF01C}"/>
                </c:ext>
              </c:extLst>
            </c:dLbl>
            <c:dLbl>
              <c:idx val="2"/>
              <c:delete val="1"/>
              <c:extLst>
                <c:ext xmlns:c15="http://schemas.microsoft.com/office/drawing/2012/chart" uri="{CE6537A1-D6FC-4f65-9D91-7224C49458BB}"/>
                <c:ext xmlns:c16="http://schemas.microsoft.com/office/drawing/2014/chart" uri="{C3380CC4-5D6E-409C-BE32-E72D297353CC}">
                  <c16:uniqueId val="{0000001D-89EA-4016-B9E6-EB31565FF01C}"/>
                </c:ext>
              </c:extLst>
            </c:dLbl>
            <c:dLbl>
              <c:idx val="3"/>
              <c:delete val="1"/>
              <c:extLst>
                <c:ext xmlns:c15="http://schemas.microsoft.com/office/drawing/2012/chart" uri="{CE6537A1-D6FC-4f65-9D91-7224C49458BB}"/>
                <c:ext xmlns:c16="http://schemas.microsoft.com/office/drawing/2014/chart" uri="{C3380CC4-5D6E-409C-BE32-E72D297353CC}">
                  <c16:uniqueId val="{0000001E-89EA-4016-B9E6-EB31565FF01C}"/>
                </c:ext>
              </c:extLst>
            </c:dLbl>
            <c:dLbl>
              <c:idx val="4"/>
              <c:delete val="1"/>
              <c:extLst>
                <c:ext xmlns:c15="http://schemas.microsoft.com/office/drawing/2012/chart" uri="{CE6537A1-D6FC-4f65-9D91-7224C49458BB}"/>
                <c:ext xmlns:c16="http://schemas.microsoft.com/office/drawing/2014/chart" uri="{C3380CC4-5D6E-409C-BE32-E72D297353CC}">
                  <c16:uniqueId val="{0000001F-89EA-4016-B9E6-EB31565FF01C}"/>
                </c:ext>
              </c:extLst>
            </c:dLbl>
            <c:dLbl>
              <c:idx val="5"/>
              <c:delete val="1"/>
              <c:extLst>
                <c:ext xmlns:c15="http://schemas.microsoft.com/office/drawing/2012/chart" uri="{CE6537A1-D6FC-4f65-9D91-7224C49458BB}"/>
                <c:ext xmlns:c16="http://schemas.microsoft.com/office/drawing/2014/chart" uri="{C3380CC4-5D6E-409C-BE32-E72D297353CC}">
                  <c16:uniqueId val="{00000020-89EA-4016-B9E6-EB31565FF01C}"/>
                </c:ext>
              </c:extLst>
            </c:dLbl>
            <c:dLbl>
              <c:idx val="6"/>
              <c:delete val="1"/>
              <c:extLst>
                <c:ext xmlns:c15="http://schemas.microsoft.com/office/drawing/2012/chart" uri="{CE6537A1-D6FC-4f65-9D91-7224C49458BB}"/>
                <c:ext xmlns:c16="http://schemas.microsoft.com/office/drawing/2014/chart" uri="{C3380CC4-5D6E-409C-BE32-E72D297353CC}">
                  <c16:uniqueId val="{00000021-89EA-4016-B9E6-EB31565FF01C}"/>
                </c:ext>
              </c:extLst>
            </c:dLbl>
            <c:dLbl>
              <c:idx val="7"/>
              <c:delete val="1"/>
              <c:extLst>
                <c:ext xmlns:c15="http://schemas.microsoft.com/office/drawing/2012/chart" uri="{CE6537A1-D6FC-4f65-9D91-7224C49458BB}"/>
                <c:ext xmlns:c16="http://schemas.microsoft.com/office/drawing/2014/chart" uri="{C3380CC4-5D6E-409C-BE32-E72D297353CC}">
                  <c16:uniqueId val="{00000022-89EA-4016-B9E6-EB31565FF01C}"/>
                </c:ext>
              </c:extLst>
            </c:dLbl>
            <c:dLbl>
              <c:idx val="8"/>
              <c:delete val="1"/>
              <c:extLst>
                <c:ext xmlns:c15="http://schemas.microsoft.com/office/drawing/2012/chart" uri="{CE6537A1-D6FC-4f65-9D91-7224C49458BB}"/>
                <c:ext xmlns:c16="http://schemas.microsoft.com/office/drawing/2014/chart" uri="{C3380CC4-5D6E-409C-BE32-E72D297353CC}">
                  <c16:uniqueId val="{00000023-89EA-4016-B9E6-EB31565FF01C}"/>
                </c:ext>
              </c:extLst>
            </c:dLbl>
            <c:dLbl>
              <c:idx val="9"/>
              <c:delete val="1"/>
              <c:extLst>
                <c:ext xmlns:c15="http://schemas.microsoft.com/office/drawing/2012/chart" uri="{CE6537A1-D6FC-4f65-9D91-7224C49458BB}"/>
                <c:ext xmlns:c16="http://schemas.microsoft.com/office/drawing/2014/chart" uri="{C3380CC4-5D6E-409C-BE32-E72D297353CC}">
                  <c16:uniqueId val="{00000024-89EA-4016-B9E6-EB31565FF01C}"/>
                </c:ext>
              </c:extLst>
            </c:dLbl>
            <c:dLbl>
              <c:idx val="10"/>
              <c:delete val="1"/>
              <c:extLst>
                <c:ext xmlns:c15="http://schemas.microsoft.com/office/drawing/2012/chart" uri="{CE6537A1-D6FC-4f65-9D91-7224C49458BB}"/>
                <c:ext xmlns:c16="http://schemas.microsoft.com/office/drawing/2014/chart" uri="{C3380CC4-5D6E-409C-BE32-E72D297353CC}">
                  <c16:uniqueId val="{00000025-89EA-4016-B9E6-EB31565FF01C}"/>
                </c:ext>
              </c:extLst>
            </c:dLbl>
            <c:dLbl>
              <c:idx val="11"/>
              <c:delete val="1"/>
              <c:extLst>
                <c:ext xmlns:c15="http://schemas.microsoft.com/office/drawing/2012/chart" uri="{CE6537A1-D6FC-4f65-9D91-7224C49458BB}"/>
                <c:ext xmlns:c16="http://schemas.microsoft.com/office/drawing/2014/chart" uri="{C3380CC4-5D6E-409C-BE32-E72D297353CC}">
                  <c16:uniqueId val="{00000026-89EA-4016-B9E6-EB31565FF01C}"/>
                </c:ext>
              </c:extLst>
            </c:dLbl>
            <c:dLbl>
              <c:idx val="12"/>
              <c:delete val="1"/>
              <c:extLst>
                <c:ext xmlns:c15="http://schemas.microsoft.com/office/drawing/2012/chart" uri="{CE6537A1-D6FC-4f65-9D91-7224C49458BB}"/>
                <c:ext xmlns:c16="http://schemas.microsoft.com/office/drawing/2014/chart" uri="{C3380CC4-5D6E-409C-BE32-E72D297353CC}">
                  <c16:uniqueId val="{00000027-89EA-4016-B9E6-EB31565FF01C}"/>
                </c:ext>
              </c:extLst>
            </c:dLbl>
            <c:dLbl>
              <c:idx val="13"/>
              <c:delete val="1"/>
              <c:extLst>
                <c:ext xmlns:c15="http://schemas.microsoft.com/office/drawing/2012/chart" uri="{CE6537A1-D6FC-4f65-9D91-7224C49458BB}"/>
                <c:ext xmlns:c16="http://schemas.microsoft.com/office/drawing/2014/chart" uri="{C3380CC4-5D6E-409C-BE32-E72D297353CC}">
                  <c16:uniqueId val="{00000028-89EA-4016-B9E6-EB31565FF01C}"/>
                </c:ext>
              </c:extLst>
            </c:dLbl>
            <c:dLbl>
              <c:idx val="14"/>
              <c:delete val="1"/>
              <c:extLst>
                <c:ext xmlns:c15="http://schemas.microsoft.com/office/drawing/2012/chart" uri="{CE6537A1-D6FC-4f65-9D91-7224C49458BB}"/>
                <c:ext xmlns:c16="http://schemas.microsoft.com/office/drawing/2014/chart" uri="{C3380CC4-5D6E-409C-BE32-E72D297353CC}">
                  <c16:uniqueId val="{00000029-89EA-4016-B9E6-EB31565FF01C}"/>
                </c:ext>
              </c:extLst>
            </c:dLbl>
            <c:dLbl>
              <c:idx val="15"/>
              <c:delete val="1"/>
              <c:extLst>
                <c:ext xmlns:c15="http://schemas.microsoft.com/office/drawing/2012/chart" uri="{CE6537A1-D6FC-4f65-9D91-7224C49458BB}"/>
                <c:ext xmlns:c16="http://schemas.microsoft.com/office/drawing/2014/chart" uri="{C3380CC4-5D6E-409C-BE32-E72D297353CC}">
                  <c16:uniqueId val="{0000002A-89EA-4016-B9E6-EB31565FF01C}"/>
                </c:ext>
              </c:extLst>
            </c:dLbl>
            <c:dLbl>
              <c:idx val="16"/>
              <c:delete val="1"/>
              <c:extLst>
                <c:ext xmlns:c15="http://schemas.microsoft.com/office/drawing/2012/chart" uri="{CE6537A1-D6FC-4f65-9D91-7224C49458BB}"/>
                <c:ext xmlns:c16="http://schemas.microsoft.com/office/drawing/2014/chart" uri="{C3380CC4-5D6E-409C-BE32-E72D297353CC}">
                  <c16:uniqueId val="{0000002B-89EA-4016-B9E6-EB31565FF01C}"/>
                </c:ext>
              </c:extLst>
            </c:dLbl>
            <c:dLbl>
              <c:idx val="17"/>
              <c:delete val="1"/>
              <c:extLst>
                <c:ext xmlns:c15="http://schemas.microsoft.com/office/drawing/2012/chart" uri="{CE6537A1-D6FC-4f65-9D91-7224C49458BB}"/>
                <c:ext xmlns:c16="http://schemas.microsoft.com/office/drawing/2014/chart" uri="{C3380CC4-5D6E-409C-BE32-E72D297353CC}">
                  <c16:uniqueId val="{0000002C-89EA-4016-B9E6-EB31565FF01C}"/>
                </c:ext>
              </c:extLst>
            </c:dLbl>
            <c:dLbl>
              <c:idx val="18"/>
              <c:delete val="1"/>
              <c:extLst>
                <c:ext xmlns:c15="http://schemas.microsoft.com/office/drawing/2012/chart" uri="{CE6537A1-D6FC-4f65-9D91-7224C49458BB}"/>
                <c:ext xmlns:c16="http://schemas.microsoft.com/office/drawing/2014/chart" uri="{C3380CC4-5D6E-409C-BE32-E72D297353CC}">
                  <c16:uniqueId val="{0000002D-89EA-4016-B9E6-EB31565FF01C}"/>
                </c:ext>
              </c:extLst>
            </c:dLbl>
            <c:dLbl>
              <c:idx val="19"/>
              <c:delete val="1"/>
              <c:extLst>
                <c:ext xmlns:c15="http://schemas.microsoft.com/office/drawing/2012/chart" uri="{CE6537A1-D6FC-4f65-9D91-7224C49458BB}"/>
                <c:ext xmlns:c16="http://schemas.microsoft.com/office/drawing/2014/chart" uri="{C3380CC4-5D6E-409C-BE32-E72D297353CC}">
                  <c16:uniqueId val="{0000002E-89EA-4016-B9E6-EB31565FF01C}"/>
                </c:ext>
              </c:extLst>
            </c:dLbl>
            <c:dLbl>
              <c:idx val="20"/>
              <c:delete val="1"/>
              <c:extLst>
                <c:ext xmlns:c15="http://schemas.microsoft.com/office/drawing/2012/chart" uri="{CE6537A1-D6FC-4f65-9D91-7224C49458BB}"/>
                <c:ext xmlns:c16="http://schemas.microsoft.com/office/drawing/2014/chart" uri="{C3380CC4-5D6E-409C-BE32-E72D297353CC}">
                  <c16:uniqueId val="{0000002F-89EA-4016-B9E6-EB31565FF01C}"/>
                </c:ext>
              </c:extLst>
            </c:dLbl>
            <c:dLbl>
              <c:idx val="21"/>
              <c:delete val="1"/>
              <c:extLst>
                <c:ext xmlns:c15="http://schemas.microsoft.com/office/drawing/2012/chart" uri="{CE6537A1-D6FC-4f65-9D91-7224C49458BB}"/>
                <c:ext xmlns:c16="http://schemas.microsoft.com/office/drawing/2014/chart" uri="{C3380CC4-5D6E-409C-BE32-E72D297353CC}">
                  <c16:uniqueId val="{00000030-89EA-4016-B9E6-EB31565FF01C}"/>
                </c:ext>
              </c:extLst>
            </c:dLbl>
            <c:dLbl>
              <c:idx val="22"/>
              <c:delete val="1"/>
              <c:extLst>
                <c:ext xmlns:c15="http://schemas.microsoft.com/office/drawing/2012/chart" uri="{CE6537A1-D6FC-4f65-9D91-7224C49458BB}"/>
                <c:ext xmlns:c16="http://schemas.microsoft.com/office/drawing/2014/chart" uri="{C3380CC4-5D6E-409C-BE32-E72D297353CC}">
                  <c16:uniqueId val="{00000031-89EA-4016-B9E6-EB31565FF01C}"/>
                </c:ext>
              </c:extLst>
            </c:dLbl>
            <c:dLbl>
              <c:idx val="23"/>
              <c:delete val="1"/>
              <c:extLst>
                <c:ext xmlns:c15="http://schemas.microsoft.com/office/drawing/2012/chart" uri="{CE6537A1-D6FC-4f65-9D91-7224C49458BB}"/>
                <c:ext xmlns:c16="http://schemas.microsoft.com/office/drawing/2014/chart" uri="{C3380CC4-5D6E-409C-BE32-E72D297353CC}">
                  <c16:uniqueId val="{00000032-89EA-4016-B9E6-EB31565FF01C}"/>
                </c:ext>
              </c:extLst>
            </c:dLbl>
            <c:dLbl>
              <c:idx val="24"/>
              <c:delete val="1"/>
              <c:extLst>
                <c:ext xmlns:c15="http://schemas.microsoft.com/office/drawing/2012/chart" uri="{CE6537A1-D6FC-4f65-9D91-7224C49458BB}"/>
                <c:ext xmlns:c16="http://schemas.microsoft.com/office/drawing/2014/chart" uri="{C3380CC4-5D6E-409C-BE32-E72D297353CC}">
                  <c16:uniqueId val="{00000033-89EA-4016-B9E6-EB31565FF01C}"/>
                </c:ext>
              </c:extLst>
            </c:dLbl>
            <c:dLbl>
              <c:idx val="25"/>
              <c:delete val="1"/>
              <c:extLst>
                <c:ext xmlns:c15="http://schemas.microsoft.com/office/drawing/2012/chart" uri="{CE6537A1-D6FC-4f65-9D91-7224C49458BB}"/>
                <c:ext xmlns:c16="http://schemas.microsoft.com/office/drawing/2014/chart" uri="{C3380CC4-5D6E-409C-BE32-E72D297353CC}">
                  <c16:uniqueId val="{00000034-89EA-4016-B9E6-EB31565FF01C}"/>
                </c:ext>
              </c:extLst>
            </c:dLbl>
            <c:dLbl>
              <c:idx val="26"/>
              <c:layout>
                <c:manualLayout>
                  <c:x val="0"/>
                  <c:y val="-6.94444444444443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89EA-4016-B9E6-EB31565FF0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'3D'!$A$2:$A$28</c:f>
              <c:strCache>
                <c:ptCount val="27"/>
                <c:pt idx="0">
                  <c:v>SP</c:v>
                </c:pt>
                <c:pt idx="1">
                  <c:v>RJ</c:v>
                </c:pt>
                <c:pt idx="2">
                  <c:v>MG</c:v>
                </c:pt>
                <c:pt idx="3">
                  <c:v>RS</c:v>
                </c:pt>
                <c:pt idx="4">
                  <c:v>PR</c:v>
                </c:pt>
                <c:pt idx="5">
                  <c:v>SC</c:v>
                </c:pt>
                <c:pt idx="6">
                  <c:v>BA</c:v>
                </c:pt>
                <c:pt idx="7">
                  <c:v>DF</c:v>
                </c:pt>
                <c:pt idx="8">
                  <c:v>ES</c:v>
                </c:pt>
                <c:pt idx="9">
                  <c:v>GO</c:v>
                </c:pt>
                <c:pt idx="10">
                  <c:v>PE</c:v>
                </c:pt>
                <c:pt idx="11">
                  <c:v>CE</c:v>
                </c:pt>
                <c:pt idx="12">
                  <c:v>PA</c:v>
                </c:pt>
                <c:pt idx="13">
                  <c:v>MT</c:v>
                </c:pt>
                <c:pt idx="14">
                  <c:v>MA</c:v>
                </c:pt>
                <c:pt idx="15">
                  <c:v>MS</c:v>
                </c:pt>
                <c:pt idx="16">
                  <c:v>PB</c:v>
                </c:pt>
                <c:pt idx="17">
                  <c:v>PI</c:v>
                </c:pt>
                <c:pt idx="18">
                  <c:v>RN</c:v>
                </c:pt>
                <c:pt idx="19">
                  <c:v>AL</c:v>
                </c:pt>
                <c:pt idx="20">
                  <c:v>SE</c:v>
                </c:pt>
                <c:pt idx="21">
                  <c:v>TO</c:v>
                </c:pt>
                <c:pt idx="22">
                  <c:v>RO</c:v>
                </c:pt>
                <c:pt idx="23">
                  <c:v>AM</c:v>
                </c:pt>
                <c:pt idx="24">
                  <c:v>AC</c:v>
                </c:pt>
                <c:pt idx="25">
                  <c:v>AP</c:v>
                </c:pt>
                <c:pt idx="26">
                  <c:v>RR</c:v>
                </c:pt>
              </c:strCache>
            </c:strRef>
          </c:cat>
          <c:val>
            <c:numRef>
              <c:f>'3D'!$D$2:$D$28</c:f>
              <c:numCache>
                <c:formatCode>General</c:formatCode>
                <c:ptCount val="27"/>
                <c:pt idx="0">
                  <c:v>15.11</c:v>
                </c:pt>
                <c:pt idx="1">
                  <c:v>20.91</c:v>
                </c:pt>
                <c:pt idx="2">
                  <c:v>20.63</c:v>
                </c:pt>
                <c:pt idx="3">
                  <c:v>21.61</c:v>
                </c:pt>
                <c:pt idx="4">
                  <c:v>20.47</c:v>
                </c:pt>
                <c:pt idx="5">
                  <c:v>21.51</c:v>
                </c:pt>
                <c:pt idx="6">
                  <c:v>26.49</c:v>
                </c:pt>
                <c:pt idx="7">
                  <c:v>21.07</c:v>
                </c:pt>
                <c:pt idx="8">
                  <c:v>22.03</c:v>
                </c:pt>
                <c:pt idx="9">
                  <c:v>22.56</c:v>
                </c:pt>
                <c:pt idx="10">
                  <c:v>32.69</c:v>
                </c:pt>
                <c:pt idx="11">
                  <c:v>32.729999999999997</c:v>
                </c:pt>
                <c:pt idx="12">
                  <c:v>35.630000000000003</c:v>
                </c:pt>
                <c:pt idx="13">
                  <c:v>28</c:v>
                </c:pt>
                <c:pt idx="14">
                  <c:v>38.49</c:v>
                </c:pt>
                <c:pt idx="15">
                  <c:v>23.35</c:v>
                </c:pt>
                <c:pt idx="16">
                  <c:v>43.09</c:v>
                </c:pt>
                <c:pt idx="17">
                  <c:v>39.119999999999997</c:v>
                </c:pt>
                <c:pt idx="18">
                  <c:v>35.72</c:v>
                </c:pt>
                <c:pt idx="19">
                  <c:v>35.869999999999997</c:v>
                </c:pt>
                <c:pt idx="20">
                  <c:v>36.57</c:v>
                </c:pt>
                <c:pt idx="21">
                  <c:v>37.44</c:v>
                </c:pt>
                <c:pt idx="22">
                  <c:v>41.33</c:v>
                </c:pt>
                <c:pt idx="23">
                  <c:v>33.31</c:v>
                </c:pt>
                <c:pt idx="24">
                  <c:v>40.049999999999997</c:v>
                </c:pt>
                <c:pt idx="25">
                  <c:v>34.159999999999997</c:v>
                </c:pt>
                <c:pt idx="26">
                  <c:v>43.09</c:v>
                </c:pt>
              </c:numCache>
            </c:numRef>
          </c:val>
          <c:extLst>
            <c:ext xmlns:c16="http://schemas.microsoft.com/office/drawing/2014/chart" uri="{C3380CC4-5D6E-409C-BE32-E72D297353CC}">
              <c16:uniqueId val="{00000036-89EA-4016-B9E6-EB31565FF01C}"/>
            </c:ext>
          </c:extLst>
        </c:ser>
        <c:dLbls>
          <c:showLegendKey val="0"/>
          <c:showVal val="0"/>
          <c:showCatName val="0"/>
          <c:showSerName val="0"/>
          <c:showPercent val="0"/>
          <c:showBubbleSize val="0"/>
        </c:dLbls>
        <c:gapWidth val="150"/>
        <c:overlap val="100"/>
        <c:axId val="1823331072"/>
        <c:axId val="1823332512"/>
      </c:barChart>
      <c:catAx>
        <c:axId val="182333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32512"/>
        <c:crosses val="autoZero"/>
        <c:auto val="1"/>
        <c:lblAlgn val="ctr"/>
        <c:lblOffset val="100"/>
        <c:noMultiLvlLbl val="0"/>
      </c:catAx>
      <c:valAx>
        <c:axId val="182333251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3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27">
          <cx:pt idx="0">37694</cx:pt>
          <cx:pt idx="1">37690</cx:pt>
          <cx:pt idx="2">1419</cx:pt>
          <cx:pt idx="3">1008</cx:pt>
          <cx:pt idx="4">25190</cx:pt>
          <cx:pt idx="5">20242</cx:pt>
          <cx:pt idx="6">30351</cx:pt>
          <cx:pt idx="7">9363273</cx:pt>
          <cx:pt idx="8">649</cx:pt>
          <cx:pt idx="9">25208</cx:pt>
          <cx:pt idx="10">37693</cx:pt>
          <cx:pt idx="11">2593</cx:pt>
          <cx:pt idx="12">9332975</cx:pt>
          <cx:pt idx="13">27824</cx:pt>
          <cx:pt idx="14">25687</cx:pt>
          <cx:pt idx="15">20600</cx:pt>
          <cx:pt idx="16">33535</cx:pt>
          <cx:pt idx="17">10442</cx:pt>
          <cx:pt idx="18">12285</cx:pt>
          <cx:pt idx="19">20597</cx:pt>
          <cx:pt idx="20">27825</cx:pt>
          <cx:pt idx="21">27818</cx:pt>
          <cx:pt idx="22">29612</cx:pt>
          <cx:pt idx="23">9132</cx:pt>
          <cx:pt idx="24">37692</cx:pt>
          <cx:pt idx="25">9340570</cx:pt>
          <cx:pt idx="26">29821</cx:pt>
        </cx:lvl>
      </cx:strDim>
      <cx:strDim type="cat">
        <cx:f>_xlchart.v6.1</cx:f>
        <cx:nf>_xlchart.v6.0</cx:nf>
      </cx:strDim>
      <cx:numDim type="colorVal">
        <cx:f>_xlchart.v6.3</cx:f>
        <cx:nf>_xlchart.v6.2</cx:nf>
      </cx:numDim>
    </cx:data>
  </cx:chartData>
  <cx:chart>
    <cx:title pos="t" align="ctr" overlay="0">
      <cx:tx>
        <cx:rich>
          <a:bodyPr spcFirstLastPara="1" vertOverflow="ellipsis" horzOverflow="overflow" wrap="square" lIns="0" tIns="0" rIns="0" bIns="0" anchor="ctr" anchorCtr="1"/>
          <a:lstStyle/>
          <a:p>
            <a:pPr algn="ctr" rtl="0">
              <a:defRPr/>
            </a:pPr>
            <a:r>
              <a:rPr lang="en-PH" b="1"/>
              <a:t>Delivery Time by State</a:t>
            </a:r>
            <a:endParaRPr lang="en-US"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6A65FEB1-59D7-4BF2-AC47-BF2A72DE80A6}">
          <cx:tx>
            <cx:txData>
              <cx:f>_xlchart.v6.2</cx:f>
              <cx:v>Avg Delivery Days</cx:v>
            </cx:txData>
          </cx:tx>
          <cx:dataLabels>
            <cx:visibility seriesName="0" categoryName="0" value="1"/>
          </cx:dataLabels>
          <cx:dataId val="0"/>
          <cx:layoutPr>
            <cx:geography cultureLanguage="en-US" cultureRegion="PH" attribution="Powered by Bing">
              <cx:geoCache provider="{E9337A44-BEBE-4D9F-B70C-5C5E7DAFC167}">
                <cx:binary>nHxZl6Q4kvVfqVPPH1UCSQj1mZ4Hga+xZSyV2wsnKhf2Rezw6+cSVV93OOHjTHT3ycqIxB1DJrNr
ZtdM/Ne34R/f0h/P1S9Dlub1P74N//w1bJryH7//Xn8Lf2TP9W9Z9K0q6uJn89u3Ivu9+Pkz+vbj
9+/Vcx/lwe8WMdnv38Lnqvkx/Prf/4W7BT8K77l53uRN1Iz37Y9qfPhRt2lTX7z6v1z85cfLbZ7G
8sc/f33+nkW5F9VNFX1rfv370uH7P3+lhHLz119+f32Tvy/fPmf45uOPKojKH2e+8+O5bv75q0Ht
36hkNpOccNvkFmW//tL/+OuS85vFmJSOpKbjMGHbv/6SF1UT4mvyN27ikqSOtJnDqOC//lIX7cs1
0/yN244FBVGHM+kQ/i/9fCjSMSjyf2nk799/ydvsQxHlTf3PXyG//OtT8wLxYBSPxUxTWg7uxSyC
69+eH7AF+LD5/7q4lI4eOq1EkvlKVskXkphfXunkP5ABlb6WwRo5xdxutfKjslTBWIcbaaa+e1mK
yaGwN2uxTVtgGYJZjFuncuw69MU0xrWSSZqbXhzKgqnAzo3veeFkX9uqJKaKsqD6wkRkt6omfV3t
0sFqRs8MQjN3/TBrjX3TZVlxE49WaBxru50+W041xopXafJTSm2OD9EU63Ez2CZ56POOOoVKdCry
L3E/OcEhkNqaPBnoQl/3SZplbi752Acq4oY2d0bklFSVjia5W2iefBI6cGIVm1XGdyNva7nvQxJq
hWdJTFcbhW5d3zfSRJlcNIOqQk7TvUmzplK2LeJ2w6guJpWbE/tWRpXMVCvyMlFR0vAnX5RlqGhl
DkQVUhTWVQfd+aqwtfmdBLFwFBFVv6n6KrqPyVTlqiG61G4mzLZyx4AZnzKodnLHfur03gmdfDrm
ttF0SnZZMLhhMlqJao26G1RbTBprl/00Hroo7j8Xso8GV+eO8UjyID5YfGhSFclJ3hRZa2u3N0Pe
qbhyskNXJg1RGa3pR7Msq05N3LGLTd7VXeaNYZA+27W9sakcP4VOMfiqlFHUq6F4NsugeTJHxwxc
ocnwWNfGlO7ixAiLTZXbVa+ckdlkY1vcylXWwRtULYzwlkN46vZdkf7BxqYnyiG52E3ZyCsVj2N/
G7Y66K+pU2fcNcKoDbc9aZOPkZM1hRuWIvjYjJEZKHOs2kA5GaOfhiaPEjWIKHm0csf/6NM4Nj06
xlbvjREvrrsgrmAxDZ2OtPGNT2UmU9jrULNChYzIb7Tq/FzVWZPGu7xPp3vWT0mhqp5VsQp4xkNX
E+ZHHjVHM3VrQeVjnRntc9CaQrvmYNJc2W3Hfk629AO3KM0pVdTpc0PFWRg4aghqY2vWbRappsma
8JoTJ1I+KcJJmVXj3PfcqbXqzMi+HYUVVsogU8CufD3lieqmxondoTXab5HTh5F6ceXf/0LxvxHj
L5T6VpRjFQXh3zD+r1//++b/R4f/mr/273+fQ8G/f7vrflRNW/345ea5rH/Ztvn35yYq8uV3Tm4B
wX8/yRxPTn55E1xeI///9eJJbPlWtHkzh6oAj3USJ4BO/3tgUdXzFKXLz/8dVCzntzleMMe2iE04
s+W/goqgv0mHEjiwFEBCOV/6O6jw3yxbciEdB9aA4GGLf8cUSn8T3DRNQoQtCbOkeE9MQXB6hcOI
c3PcgnwmLIQ2Jhd4T40gj62gGpXmTUrdCXlBtWvbnBXHYOJxs32lmTPh5a04xqhjQhTCq2laWNfr
8FIawm+Thg3KTOqRfx/SZDb23I8M9hgwWU3fLss7DZnz8hgnTDhYIXcYn/X4Wh6J8qQaUz0obZD8
oRHUftKRHe9WpJCFHGFhewXljJrYZtt0sJWv5eCfTMMMzfurw932bu9tt0ptr262W8/b3rj4/cbD
fz3PVXv85N1cbQ/qgM/c3ODXo+fh2t474trmiB/x6e3hcOftcfUGXz7go657wN22O4Vb4vbzR7YF
vn942t4dDribwu3UZr68PWzdr/gIHkG587/gZ/yyUcrdu3vIxWdxxw+7O9z+yvNwq6/4l8NGbTa4
42fvRh0OT+qwcfGdzWbjblzXnT+2wfdxv/lm7jV+uMFK8EQPs/jd3j1+3Bznj26OB7Vxb10PP2PV
+12Bxbt4uu1mf+2628PNdn5QPNsO33xwn3HXPT56vH3c7x9nNUFR87e9m5tMzWIfXfzz5S2zVnZM
LpKpLK5qRmLz/mZ79/WwfcKiNu6zuz+6jyuSzNNUhy9tY+liTV2lVgPb2Hr3n/+8C9Sd2ny5dYla
kUPnJ/53evhWziKlqnVdhmKWgy36fHh4wD670De2ZH9141257tVlFZozNlwSSE+N3jcbHU8QeON9
fYK1YJ9WBNA11c2b+Crjra1S+F0ECfdX26vZoLc3L//H33dft/CNO9jqzdeb7debO63gODdfv2Iv
1fUOhnV42B12u91mt7tWt7Cwo3u1hzl/ub5+Mcdr5d7usd/wPLiF595fuQr+uTneu1dXsL7jfr+y
nLXVzOD4ajWMdJ0fQ1/eZ+8JfgONrVk1X+DrG1ubH+GViAlInnOIuNp+vQs2cEu4+93s8FDbA/53
UDv8NHt1oLDC48996fbqp7ff73/26v5xzUT4DLCXbGQBwFnjUCQxMMq7w9Pd1v25P0Rqu9vOSr/Z
AuO8x5sZJrEx2IiNAga686/e3fbJezo83HifC2DbTn2++nOLG2Apdzu1e/rQQX0eUOThsIPdbY6w
81Jtbp9jdXzEVnuepbx7GMRXqf7Y3AJJtp7ae5t74NDxZgaYy3vLZ1u/tE7nVPFJYQzUhKUCsG/U
Z2Bup/DcX3Zb9fAXMmN5ANEr17va4iE2wN3LT0DNOcZceoRFDJrE2I/9rOrPgPcbaOFmxrWbR+/O
c68OB6D1/iu8BWANxEeU2G02GvC63ULnCD37OQp4n7E526/e4e4OgA27uXsIlPoEK9piTxAlNkd4
4Weg9lG9YNlhd7g7PPw4BOrHw3zTP5/uvkbqaVJ/BuoAsAMO3T3g1x8/YI3A/L17+wiMxd/3+8fN
4/6nC8jfP6onRJFBqUDt4Kqfrm9vP90e95s/Dsf998d7RAr3HuHA3WwePfV8jUC0v7/yHuGianM8
XgOzj3uo3oNWX9SMlf+EuhFcIRGxZX+DuHxz5e43t3D1lw9+fMQ/z6Dw6F3df/4MQ3S/r+zIZX+3
yCLEOIFfGAIhBlHyCn9gu7sbDyEPrq9c7/hXkHNX7MCUl+0A3MPCFDshugJiIRPquLmD/8PVZqlz
9NYKXqT+nGM94BJ+cVD4INBh+zBHZWw0Nh4/PeALB3WLhGCLn+bvHg67W/y9f4TSvKN7/5LYQK3b
OWrCo27huYeXdGF/PMIhZ1PfzjZ4t53hNFR7mBDUD7TeesDjq3kbvf3nG2Q63v7Ow3cub8AcHf7t
EDYFUyMdywRbY9lCEDFffwWG3TTJgLR5rRzL6LyxKTtXUNZsLks53eW/pVCkfwxpn2VZC88v/Lr0
HZrVys9jufFbg6sqH9KvwTBpL0qkcXtZ3ttVcYLknzhg3RyGAuF0Vak5CS4Hp1JtJdkWJd2wDdPO
/KusO6nqLnBN0B0HoSaEcEyULigoT6WYrRPFFfFRWLPQ+kQinR2acphWjPWt7iBFci5QhCA9X6bN
lU5J2AhZqSFhoXBDORStSirOW9AfY1ErU/fh02X9nYbIeb+4STi3HOKgjrLIIk2SOdVl1o2VKnRu
HYmhudfVSXxDWsdeWd4ZUTMlCMaO0zk0L5RolRkBb5JAVNqVqpP5tC2jtnTrOEuPl1d1RpMgCNnM
pnFHoDI83S9e2mBt8qxSXVTHhzaK7b2N8u2aFVTe9VUh9pflnbHC1/LEAtvGppgKu4O8CkxWuc9M
vzQ2cWdHK3LOqZBbpgQfi+XZcqFCP3OmMSq4VjLVYefG8RSPXhO101cagOC6vKhzSuTCdiRBXe6A
rzpVotSV7dTxqMF7WonXdpV1G9q273LmjJ49OGwFoM4uzqHCtuBn3LYXrtyx1neayNLKTFumuIyt
TdRYQgXRFKz48zlRNgE7DW8G82gtgoJpcJ4YA9FqrEjqNVZq39bxZCkJinXFwU5TvhcHs1+LWjhY
N4myqk2sik/FXRiKYOcko/4oTMque5boj5XTfr68cees8bXIN4qMjKFPTCgyJJnLKp9v0UIIVtz5
rBST2Y6NQp/wpS3WsgyryQC9Vkay/ZAUZewaTk7v/oO1wNjhzDbjwll4ls99pkMptCpqEH50KOxt
1BX2CmVxztRthzKQUqYUcln+VlJEVaRtrYwKbQfXkWlyTO3M/5mVdfgkgVfNinOdtUDHBhyiV2Iz
tlhXbIRpFdlUqwZ82S7t2i+csT8tbYnN+xUoCCPWHLkca+7HvA77Nidh0HNARugbwu2z2vFYajYr
DrWofmczB6kjmUMleHsEkgXihoYTtSnPK6VpRVWd097lUxhvyrIMQAQXaBvYfOf7SbKjvOkNpbu8
VRNh4QqKvDVLG65jE8vi5ks6crpeGWUoLDtEGTNvUvs+r1lYH0LaZvXKDpqzG50mVJBkI9ex0M7i
5jL1GOrACc2hqFQYhcmRpFa31bqkT0VX3QS2MRyrugSHnxSmopDvDmMSutiDxmzkoR0NvZIKvUUa
ieAKj5RgUQmnC7fvR+RHRjdoVRKnp6oPZGYrq+kD6vUksEoVVZ39ULdNNqzs/ludQ7LlILqjJfg2
PRotOmStiUgx0MJxqyJO3Im2+crOnl3fKykLExu7Uk6BBmijrOu8Nkgtt9e+sctYoEb5pYh7/W6I
w7qwwVCcLUwiF9jtiD5H5wEapaNTuYYcmNuxJl/R3lvwgRSbIoe1qQlWfBFn88Lyk1o0WiWBtB8K
Z9QbmtTxjrRp/GcTVdP2MiKc0yNM1kbWzOEnS0TwkwIEPkdEsuOelV6nHePK8kngOk5W31jdKBtv
CJAFrqxzTe5inXYbDFoXTKs0y6uruC+KQxm2003cGtVVi46xS5LYXIG/c8qds00yd8QFowv4G0on
02mVQ7mRyT83Rju0G0t28a7PJSlVmBvNp8vqne94CgtybkhQihIIYXGZC7Y06HNeB+hA+XXu2VpX
Hs3iThn58P60E6k0MhibckJszhcekbBpSnqblWrs23RDkqndDg1/fzIt0WdHQoJE0JqbNqeImo91
UTBrLJUhyn5HE5apJBb3RCdcpRVZsc4zWHIibbaiV2VqH1h2PdhAKxKlvunSSCS261vVNK5YhvN2
n4TggszWwdBWmq+/EgQ/jtIwnEqVdqQ+ho6R7Yo8I8ci486mFHb3NPSGkagMNFL/fleQZO5WIb9G
QU4XixTJ4ExJg+g/GY18TDW37kxitW5pcX0oKnuKVRn6fGXFZyxTgndBhLCEDbtZBAjUJHZDzR6p
qOm3qqQyVaUZhyoinfF+rJYvtTJmHVCmvDCzr5TrlPVYs6BEQhUW3RUmKNpDRht+jJi09o0vmlCl
um5X1HpmS0FxgHdAIuJw66XL8UpqFWJ6AZM8wOvWtgKVRpHj9VFRH3lB29uBFbHKHVm7Our+bvz+
3xmCOejajFomsxAyXpjfV6K53+el1kCUIHZKZZGcbsHFdDfvxBZIAfuAyRviIN1aYkvlD7TqJ9js
FDVmoeo2njyUuOmeliK/vizrjSPOspCaogIU4HLMRYaasIhFvGxKlch8KJVujelrZ1ipWDGVN1Y5
y2GUYsvADNhLEMNASulgMKGEVSajV5cjuyJpmx300NYr2HJOlID9E4wOIdCKBV42vZ8XRZZBlA5q
zFKMhldO45ewIONKcnhOeciF4AImJ9IUC3DRmRNGg4WZoYqRaFMZyHXDPtQrDn1GyhxmEBqhPCLE
ooytAxFKHUWAMD4NimCMSOkic96/QUioZz4PMhxr2bEbzaC04tovVM8xbVUCqDbF4MT3vg6mL5dt
7swGUbCUGA5DmEGsWSCUsDIdGkFSKqZbf9skTe0mtItdUCIrvZhzqnstab7+yl/zYtQ+Jq5KJe3u
oyNyusktv1yxtzkynqQCEkkHKkrgH3AXLf5TIWYz6KwwjUKZdkGudTzox4z2xUEGnE2q6Idhd1l/
pnVOomlZkjJmQurCwiedxmmPuSvFAgkFajP0hjxPXF92VqpC7of7fOiCDYZ55C4n2vppjBgV43m5
DWmfPFx+nHNKxkbaHBMOxMRIxen6gzzNWseH5QjZTZ5RGvEGFMGP9wsR3LaY4Kg+gSSnQmzdT1Fd
8kINUWVFGPWK7cariSztFT84t5tCMtBGlgR+yNl4X5mMz5Kc0BHGmcf54MYhtRXpMYrEu33eGOOK
tHO6czApIR3BbAE3P5XWDrU9ZF1RKtFw/yrpRn0ogaLe+5XngPBgyIGQRy6JbZGKio4BEDGus+q6
aMNsM3AardCxZ9YCtaGIAiJio5aaS/LCSGQUznmqCG/TXjLXjHj4XqoI8z8EDARgA7WN89I+f7U/
ztQZjTHbfhLR7CYbB8sr/dxZwdy3TMcsBvNBXKCXgsptXuwrMZk9FZxkolBx60fXxujQranTY9Fz
qWzS3To9fygN4m90KPwr8N1HW5blSnyZd3+BLPBvzNGCE+Oms0wEJk1a2QQpEgG7s8xNM4R1/oEN
nHTXvO176g69TKND1UlrjaY94waoBjCLZVGbI81auIFRhJy0mSzUmMU0cUNij15fRteUBcxtax//
fbeNIvhY4KApxeTSMmq3lhiyiQBFWBhGqq9ptRXZtOYJ82OfatTEloIhgwVxWy7LAXDOwVAJbKsd
RoGbOqI4jPkkDsyX4YoJvdUgRDkUaSLqD4ssCypgpU0qDg0WCY8MbyxSjUlWzI78IWvKv4d91vsr
fj7j/nJ18LyZaQR8MUzJnRhtmGg+BJoWqswzw2NS84+67ac/dStSzzRz60/QIMNVGdJin1VW/fXy
Fr41V5OCQLFQ6SCTBKqdis9yTYKubwtF0irwUlt8TyvxlecgqLTMMfTL1rLKt5AzS0TRim4aWNZ5
ev21l9Z9FEeWqQuVGxaKVt22e7hKvrKTbwoOaWIQniLCwT4RexZpnhU3mIIrGsy3xkY1uU4eRZ/1
NGbMq0qffdBJN0UqcUJwRiJN67UYccZmObGRziIHBHu0nB+splIkOdrbykh9veVBMjau9M3wqagr
Gq+44RngQ6sEpbKwTfAoqAlOVUotI2F9Q+D4dv0BuJg8mb5MvI5VGAFmdcgfE5qhVB78vm62lu/7
Qhl1rf8IK5aX7y310ANDwgtmDun1PDR6+jBWijMRk+7n8fUQ7tq1zZ+9jXw+J4NU6egnN7Xz0dRB
+O5QBrloo4M5w7wmtxd2RTDvzHUJS+YjSwu3CXw67SSGjesVdZ/bWxRemEGlKCdNNl9/HWbyPPYx
eVqooG79P7oxpmIzmtK/aiLWit1l/zwnTIK2AgMpCf4stNkwCycGGsxpT2DWj6VZtLd9Lgyvs4v+
6bKoM+BnzyIIGooCzT56ui7TZ3wUOdYlYuF/jxtz/MNpRLdL8jTdo6EZfros78zSwNFj6piDEXAw
KnAqL2VGlLVjAVwvhOMZIRqYVRWgo47vvH/L5gMcCIlYGtjihW1EdlYGdRMXSo6sChQb2tZH2y+n
B9PKwQVeXtgZTHWQU7EZ5chMOJ4uLB5yOw1aI1dmlsWuX4R1rAyNxp/rO7X1vRmrjuw0Ys1K5XRO
LuhGiKQvwyQLW2mb3kwtKiC3z8HgDG3Ebq0RjcYqj8I/+oIV104XGivJ3ZltxIACUgCB5As/LNyh
Ex3LGiMA1DVgCfwcXl4munCFqO0VaDljoQ5wjmMwG6wxhtJPFTvRvhVdnxXKr6fJTdvJ2o125+zb
yo+9Pg+MFaLl3NJQVs/tE/DFKBZP5eleBHpwZI4WJ7MPljFZXhbw4mFyonTFQmcLXKQBDrIo9BoE
xukRIE9FMVtbTTDigAYJovQWRzImL2Y83F62zLNSEHe5xdENlC+B5BV0kaxMMpsDTXSc6o32iXMV
GmH/bi4Mh89sMBIOSFxuibkUfiWlDtF6s8cSUlI+CBeT6Om4ZzH6at7IHaJXIPKcVYChmusYJBXM
WaiOkMmu2gi4ZTTNY9dM91mhe2Ujn1JCx3plo85JA8c3j1CBJkZdd7q4Mq9jm5Zw7mrUwTGPKrqt
k0AcyDCUV1M/tSurO7NlQGQw0ZIIyOQLlEyEVfYDDgWovitL9GVDYnVeUJj+WhZxxtghYibGwNHi
QND8IK92bSiZGTYR/HjoOpF5GWYHPJEUTqSiyK8eLxviGS1CiWhNYkhBSrSnT4X5gznkTeDgQJEM
ee7hcfS3vJqPkPkGiFww/yx8PzoiYoMtRU6C7vAybE84rjeEA05qxV3ku4kReMzyIzC13NgwvxrU
MJi9d3mZ53SKpJrPFPTMM81qeKXTsImNMjMYcsw6PVroJm7SjAYqYdYawb4maY4NryTZJcbCMBWU
q7Jtou4AqG7STT4mXelGSYmtvLywM6FGirkxOucmiCmLheGUoJOGtYljfcPU7KaRGx8m25ee5rXe
GIMcj0JH/qf/QCiOYr6MIKFaWgitMtmbkYNTaHUPJUYYBfkjG+0/QjuvtsTWdNvXIVuReaY8A/Aj
q8Z8KsYW2EKvtTMVdUxxfhGVkqmCMD/Kckg/jX4Y4wQyzb7yjFQeN0h1sPohWwGbt1XM3BUChCKj
xrmrpfMTVoiBplGOs5eDed9a+ajSsAqeDV+3N5Nj+Jva1/WNUdYrkW/2v9NwNJsrPAV5NAiFZTjK
GyajBvyk8i0MDqGlEWxiGlv3lzf0LQqg6hTgITFWBh5tGV87kbdRZIUgbPw2/BpMYRd6DY5351vm
D8XXpuXB82WJbxU617mg1ISNGMiXuBM2mRGSChlE1kRZr3SU8w+ynZJAVWirbDnNuRJ5QDrll368
NrVwTvpLFo/j0WLOs0+dtDMKEpkMaSjB8dnUEwYcE9x9Efau7NMIB4lzf+q9ciBlsgdZbP64vPq3
IEERQ3BOD20JaoEpPZVvoyOBNBkgYQ0JPeDPc1KyfmeFjrN9tyRQpGCG0Mp5IdhPJaF2sOSUIkrm
vhS5l09OP+IINXr6W7vjY7gCR2+9lMKOMDA7j7sBGBaKrWMjiYemRjixUv0dAcRL+jjxzMQHA9fk
xS7IRv2l7EW5i0fKPl5e7FtngXRQ6RhFJsIEIbZYbGvbSVtDOibH4iuztInicW692yVnKQ4a/ej2
YMR0kQjAQxxMaffIEHtDHuOR3XbOYBz+g6U41uz1mPaUy7maGrN+BqbSoMh+Kj9gKN0f0YQm3dos
2BnPB7ltgaoUEqODy3YS+qc86/M2VwFh3JMaRx2lmQUHzPsNR8dpjHenpJiDI3OzQ+Ak6ZuJsDqw
xkLPW2QYMd2knZPecvBeGxw1Zx8uq/CcLWLykvxFWGIu/dQasjgiqLdGxHzR1wcSa+aCTMg8a+zT
Q1lX5KjRb7/nVVx+wTm4csUVzmAM0jioFKwTBuKXs8E8TTqMfiD59ofAsJQGo/iBOel8In8Q1ZNl
GTgZz1mkn1gUjNXK4t/mBciwcIR1bhs7zF5OTBXGVKKlnKKvNhXkCzYjslVuwRndFkfta4w6JslD
YAz8PwAcCMZ8ATYZsLPk/psoqnXQoQgYTV27Bp7w0DlT+NkUbbKSuy7cHZ4nMdFjChQAwHBkdqcb
7Hdhnkk2Rh5e9cA900nrnVl08QqCLkm9v8U4wDNC4fTLWg3vGslIRGnkxehRNDJtvS6YjE1BYsPV
dk1u0U/Mjwk1PviDP2w1up33ftu805zfPMYC3FhJ+gbJbeRFVZWpgYtqh8Sw3xUio14ip01h00bB
m0G8YZhxc9mZFhHrRToG/DCxYoJJBYNzquuqiIooFm3kOUHQHrm2xw0J2m5bRN1am+Hctr4WNfv1
6wx6omLkWRd5rZTRpqGp41lDXaxs6wL4XhaE969gS5HNofCZr7+SYnRhwsMoDj0/qkR/JJiC9d16
LJPqgJc5SPIoysZ/ZzY3C8UkPbwRZ8wJ0tlFEktHpiteyMDr/TC44Rhv8mbmaiVZPbM0AT4Pb7sw
cR5HLFPlFodFfAMEkyeH0cmuWjOlyb6hmbD2OK5f4wyQKIH4lw1kATgvS0Prcp7UgmwUI6f6LHzh
h9HIIi8bSOyjAVy20eSKqe5NvA5jEIN0Gyfs+l3QanTbLwt/YzLo58P255fc4O05oC5OhVddI5jh
58zlugn2pPJH18bg64qUBaIzGyw6sZBGoU1L0QteSGnTCAdYCst0g2gMOnekaXEX60FuDHswNvWI
aJ3lZb6l1hSswPkb94NoB81nzMPN7xViC6iTcUH8JM6oa+IlHuYHi5ed/hg1jWXgVSeBqJuVbtQ5
efALxHzkchhXX/hgOLHU8o3ScseEdSrFm288vPYhdXk7Vd7lvTsjCty9BIWPASf44WJpJU50VQlG
avB+ni7c+DqfvAFxGZCmq5UNXGQE8wZiCgItdvwRHMHp1EzixNbm0PZYVU2Kq9DPy53hT5lrGSJ4
wIuBSuX3bezG2UCve8r7lU1845ezeLRGkNRhcgeWeireMqREDhxaLozU2RlTYylmVyCmiUGRHxTk
/rJm33oFRYYFtcJ4kC++nP99BXFlMCR+7APWrDRhe7w2qdvoKGxWlPp2VSdSli+ZSiSVhk6o76Kj
L9wA7/Rx0wGTd2Yo77uO8hWcOScO7Ow8nI2DFFjfqRJ5Du40cuzAA4iRPN6WrBqj0A15StNWOTkb
rXwzNmnEtu/XJt4YBhoAqT+I76VLgGrEDL9luHgjlP0lTNDGLOp3jgNhk/C2EwxFg9FBBwgef7q6
tBjT0HYIc0cs54skRY43B+XlCgP31jBwAILgBVaYcRfIxRc6jPFagaCPZexZFro+3ImKjRFF5uG9
CoOUmSNCSxTE1JKaqgvah6VjxF7JLGRmOPK6jUi9Zg9v4cMGJKLExRFNdFzt+forIwdV749UO7Fn
dCNesBQShLfejPeDj2b95QW9CXHzRBNyKoriBYeFliGuKuZTtlGUeBpHxb5NSZs9cR7orY754NVO
YRwDkKgr9n5ufZiEoOjfYiwAR19P11dNUHCgocU4CjVaxhhlr61cqMEw+xVPPicKHoX4gnoFvMjC
LHgadhGOfqGDM9HmrgyLzC06x/zCMGD4bmeaT+9hBgmM+kzrLeycTDoay9ZJvLKfip2s058VtddG
D97uF+wB7QjM/c9hc4m3NTXx5iCcbIUBivEPvLxs8iaDhdc491rfkLBMb/LJqNZ6Y2+d61TqAid8
eyxwZOvl9V3dtO/KqNkVdWftL9vi21wETU0waAibOIKO/uapWfBhjBJtoCgxnDb6kCXtpEYx5G7G
SuvKDGM/U1Hv0z0LG//5suhzC0QQQ2VrIQfCoPWp6GGqS8MYBtRDtj14dmsl10lD1piks1JAaqO7
D7YXx8hOpfC4xcSTzyNPWF23pWWRYIbMXON135o8ahoAIZ3fnIVe3KKoKgTJcrMJY4+0k9/uir6s
re0UV0m215nVNCuQOJv1KzYXy4A4HEjBC7RQRaGaPF1UF+RM64nFnj9ptgsSPd3nPEq9uJq5Ktl2
csVMzrgAWD+M4My8OdLjxV6FDfsfzq5jOW5Yy34RqhjAtCXZ3YpWsCxb3rBkWyaJxIBAAF8/R7N7
od6rmZ0XtrubBC7uPQmUuOpgfV2h2zAmBWdVkaW+wqBizgiIrO9cpbU8/ecl8m8eK+oxRDf41BJn
5j+9PEM+m6/NsX7E4XMuFIvXw2wB6S4Y5v+baf7fPFQ0/yUoOWw8TFX/9FAblYQKeYys18aMC+xn
aP06qA/qspvLRk9XnC6z/D+XZQCNyO36POAQE1b/Uy9Hq+PQ2lrZK5ChHbCl4aU8TH4V88X9/s8P
89/sBBBX2OYAikHn/rOCytgKLMCEkETo6KvOpa7oRGz+/H8+BEg0cA5Ywf55HE6QsQg9n5E9BNDH
aVJJ0qujif/lBP2XdQH4BMcYeD9gNp9C139c/x7DG8hFtvTwlm9PArB7n+j9uEwhLb//5x/0LwUS
6x2RrGg9sL8p5rV//Ci1q/1TXL31bCnylwHKrOF6jgEm134Z9qTpcXIf9dTRY934T3bYJv8vSwQU
6r+8OsxPkEqiQf5UgsBM/49fAuMch+mTb6dQJPwzZjHmIhOPTkQ98q6UVMvYlrOMomnhn9RMtEkt
k5Ij5bEJw3Zq5iSV6dco8zC9zxxaDHp9iHolr1OlgFB8HwJnil1VxGkkoUpGhrojczIQhoBQpzg7
JceYDHk3BeW2pDcOdC+7mIbt+Yvza0OWrpym4/PvT3HL37ZqkuZvapL1+B6zWOZfdlnt8s/GqbFd
ZpGHeWJkmbfPUFPD5I1d2XyTVKxkIMeYCz/8pAwIcmXHnVXnjM7KdiHl7mhaMGz1fp+Iz7QElk+i
fgW8k9HbcnQ6+dNoeJ++cQyEOWsX2KIQ2oonI6veCcKswpdHLujNujNpOjC36viaBlLCLrkYNgy9
BEnOOxZMs3/zNN/Zw74UJL8STTMAIMRvWYq3TQSbxz7fDl8VV/sWx5ifjGOemE4koqHV1T5pclyM
hNSq1ej5/XRKw1zDTCubDfmrIaxD0i/TkIfnxcZU/RGrKrP5YpAU+H3TGGddL/ZlJV+gl12GLwaJ
qBA721TPGFScxlctoSz5kdoxgak1j0rFr2u5QtPajIiOOHmdbKazVSHYk/7MoZE9yYltvhdDqPTP
1e5ish1AJmW/6oUBdG2dYmKfMMoOTXo15Znxz+XsDccUMUa7ga9kCaGsFdlu4/fSV2L8Nhe128gZ
CQKHE9fCOjs9VZNdnWthm6np03FUizhaI8YjsO6TlUWPPYfSL9/3Co59zF1qbcxrDPkx+HZ2RSRP
tc5H8ZvixM7GThJSj7qPx86yGox/UtivSzklxUcWIx05QGm9TUk3ja5iUzfXbk91F+yGMOV+bJZj
xMdjIzcvbAgSmnW7lnW8hLFQ6q0ueMJ4C73EFHC2CFsdP1ErXZa0xlIeHzdbQwZ5IboJOm8zpvZi
7Phocru3cx2z4UPvKiuwlIdSw7ZAQkiTHzUNUcOzTn3cXTcysoW3dWpienNkK43fqEIa7Ne8GYx6
gbvVi75oBnJ0sEXEChmzZlC9W+aQ3EtEOsHwDzA+vgoC9YjpF1viw/djq+5CYCV9Nay28VwPCypQ
B9mdnpIeVqJ0JFdbEGBeW7XREN4UldioZ5kExDQg0RmJrZDuMqL25DbfM7k23ScF3iT9ZMik3SmZ
asCAbcw4uIBbS+DkbLrUSRv/FBMBi9UPk4YKqE2XkCz0DImQQtixTkkMaYuwYHW8QWFJ2NjCVT6o
uywbCVSqyPmBLLkNSz3y92Lb/Tp31ZjE5LmcVoQnwLUThoa10UAiY1sU2ML+liywaWpJNja77T71
EFrfVKnYqPnCl6QQ+/VuxLTay+5hDdadw1BQlf2al0Nxp3JWSovsonlS07VBtWbQSKeNWdscGTZF
l1FCVt7N9qjX7DrmEuXr2yCKYO2z4vnGm5NWTXWk3/ZhweyD7q4ucvbJSZLq3pvo/W0N0ZDOTusY
6dEeTbDpSeuAWKC+IQfbHyVioberDXkeM4Oi0CyctU2RHc2fWmbgPM6GhfKvWeejuk0TrpOf1Zzp
5UVWcORD9QexEoSHMJIuf7IcNbnNHLqF7vCzc7dJieTCl4AB2b4mZtnFRYixzG51jTyqDuUr+VUZ
iYCj2Yb1eh8QgHwUQ4qQiGMb07Ycj/G+HLLpoYHz4JyJhj+AV1vB98iq0cVLPReSnwA37T5rQXov
00O5ugPm3TXfKPmR5cC+f+M3zfkPUzINWMAS0lzwtUA5pBO3oYMOQeQXyK0TcauDGoq+PNCmd5w1
2fYjt1lNkpZIua13pOCNeM74LLa7FCfw8LjR2Yc71Lv1R6RpmF5H1WzD7yoibPkJWc519WS2JDY/
oAXalrNeyFz1U7q6cEGvGkzrvIJo9LQROXwsjU73R8hWZ3n24+ybX1iyC9bckELu8rSXmVJ/moGy
EsbCHc/htES35x8zdUCnW7LsGVY11kjin4pcgp4iKpjyqwoIuL6ZCKOw9lM/CP46jLVJ1BU9dKmr
c1Lso0+vPAaFwXfxqNn+19XhSD4cp5s62smk1JJOG0KzX9nuvc3hoFe+jD0cGk6LDklI4+jbppnm
Al6NZfpUpe5TvnndlUFt6qOyMklEu9Sbhlt2GjPTvG+UJetrNVM5o2NYsNCnFsqwWGYdX0JeQJmS
WmkUCmnt90tdOwEPOniP7X4mxZG3EMogMgjB2qjnkB5o+yahC91beKhmi9KYIo2cQwcCjWW6EBBJ
fpkhK0r4TOtXP4I4fR0OIv+MamU10ErhONDgNX1NCRCzLsdazDuEne/yt7axfobACyd2I5PJP5Xq
8Fcj9tdwx6d8Uh2qz/YDed7uwAHr+JuGqOdZhIX9KefCyKt18fnTehzlE4yno/nfY+FtrNPdw+eo
yxt1bJP9ik6hBiQ9FY28bBHhFhcEmgzmlFQD9V2+NHtxFXUCWQvkvvJ1SSu8rBDJ9b6HJO2BjU5J
O61IPOggxEMcQbEJwc6sLIY7TDdBtqsU8X0mOL+vV5Nt9LRO+oAEG6nap31L+bmsQ0rPFOHnFwwf
SA1ZA18TiNqGbepXqZakcxCN9zvYC3s5cLy95dBiim4bcMZ0BXd4KXMQSAZyULWaLuyH5dd6dlVo
qauhHUNaXDMiQcgfrp8D0f5mROxFaBlT1RWXu/GIrDnqtE8IjiHke+OjOrtkHJqP1A6029OlJH3u
M59CZDdOzyh32XedL8q1WWj0N8qq8Vsx+uHvBGbnCQnh0uOJEJKcp3kBj4QI+QT7YWHN0Ta1RrOK
4Ji1vFsH6fnTskSlLxnVbL32Czw6Z5ubzH/jcJpvPd0qMres0AdooAVLs9SNpKch1MnSMfybh8/3
ACQ88MV1ZhiyrEOPslQ9jehFoEsMEocIq6RrS2Wz9+Yo5O2YL9H3UDbP+A2JN/llJnGDqzzO7OeC
VzN38yHIOYfzu8C3VZAUFcWqIPuTPOsw7MgzowJ/BAyLHnzktUKOPkvH150zNlzRcTiytkKnAgkG
q5ulw60G6wMXZT2dq4wh06bRtjTnfNEJKP0m8qZdol5CNzkoe1tSpBPF1pdJcYpWrs9HhZT5r5KP
LO2OkjDTSl+tuuXT5v19UY0rrNZj3oydGo8q7Re8z/XLFpPsahmZLK6XXCAVX3pC0V1WNo1tDmeQ
a01lUMx0nKk4K+nIQwZp1fIrXXhoSY2a2W6lt2M/jRv+25xXDT+5xqHjK6u5GKEUV9VtI1hFL+hx
a2Jb0Sj+wWPuj48SwSs/pFhxnrBpnvNe6abZzyaOCX5LqlWHbokikfuA3ONm8HvxmhVB1zdqgA+g
m3I3PsdqVEm7Qnl/692A5tIdB5o8F9cm68uF4pYBBE81iF2c/PwYtiz7qWkz3c1ikbQ1ST4aFMOG
zZ0aHArjEVP6bc+S8JMsfGha4uicPmfWILKggMRB/uD75oCNcW2s+oJtGSLCFj1OvnKYE/I4oa99
iZYg2iVZsvl2SQvbdAuSv9Hw84WP/ThOdX6FV1W4c7TTobFUVfPsYDdhp8HPZvhM6nfT1XyQrTxz
SHUQnA8bU3UezAA4OJJBTu20+PQHPcinIApuTnYGCKlPTe6gBh38NFxi5hLkEBXjKC8E/fT6fWL5
0a51xedOjxa1C8wGru9oD1gk5dUOv+sjsLdM9OCPXHq9VSaFQ4xgZsH+KmfiLgg49+xK0Xpfb9Gr
YGrjeC0M8X4N/p+E2UL32lPY4WFgmb6D1pcfWRrHP9O6HH8Q/zK9HyMXd6qANu+cY0p/jMzyF4Vb
KnyfYEH9sLlK9CXhuXrZOUlQM2Ua83PlS4GmIBka0hdoKPJLmfqUX+dC6hfw7MUYO8z7mN6iUfnz
Do9dOMGBtPbTwEqcBQSnVgcZL/KxBkHrGc2gwoDqRF4+gpVHOEWEmak5Q6Of7GdS7ZX/xlRT82tD
Odph45LqFIXDOdTqWeXmtCKvbm5LQqY3NsI530K0lsgXZsOheye3Ib+gFC/3EFEMsPjmsYTtxjZl
SyNDVgCEFM3fZM/838SQ5q+mBSZbx4YtdDaxBUjLWuM8g8BOzJhDZHYaCozn0L18Bkb6VG7vx3HA
6TJOueStbmL+G2QJZiDTpBwtMtm/1UO1/JIqkPwmhzv9kiZlPXeAs/cNWRxAgc9wrvC1Y8UA7ck0
bemrWwaH7bLE8Wep1uNLGenw3phAnmye2aeGNAe/rOh4IJ80BVzFlQTpdJoZ284HlXrGHS2+HtrJ
zuH+2IRPzoIe/leFSFLeFiSY3wy3jkgkvai87AefVReR7C4BcDPGd51QB6v8Wit/5bjOfx0HtRU8
PWF5X1E84qmyNbvPWJb8zaw8vjgCHPycb7p8d6NgL1OBlAxYGoW+seWIFqkAmeLaAI2PuxIQ4YZ+
O2b5128J+aW0ZxnqWwhf58UglkUvUUwPbN4oaFPp1Ecq9B66IzScnwKhQkC5KewtkX7dMSCE7e9Y
0uFnyNfxyeIIfyzFZN4mU9SydXhqv6vN7Ldebil6fYV33iKDxaed4AR9oBDTp22XasgWEhoE7iKY
Jvul2TGGt8xzg6kqTJ9jQl3Mj2kmvTqvyVwAkU+RaHR2Ojjbsm0uqguYy/StNLwokU+iyQPdC2z3
DLbLCkAVZvjew9a+t7TyFaZSKAlqsE0kNKcj97BwcO+XmwjOl56PDIP9KdsMaE9DjblUDM+6bXDh
R9ktNsOFJVZXWGSDo/Rh2OrpFcoL8XJkFjgQBj+r23xttqQdkMBQtrKs/TMXY/HhlkbcH3rW442f
SE5PTY0m5rx7WZuO209GJRnS8TrdKmHO3jfNC870Ze5dMatbBoe3ud4XUf5cXE7uPSOxOKf1NH0f
0bDam2rcm+epGYKH95HDYwCMpRi6MG3bqU59xa+2lCrWjXSlf+ot9xABqUHc0rjHV3rY1XR7oUtc
6JMFcrQBb+YiQUUeZ+em+GMYffB3qBaFPDcZz06S1uboNkgm0M6uI4a7AT8eTyc04QeG7vyl4Pn4
le8w+raz2YqsHQl6gD7jIfkrZiZvYff7LOFAr8rz7ua16uCiMY+VCQ7hvch2wAOIR9lF2LIekOuW
496cNZaqdTUpt9OIth0XzAiaXBfuwM9sYIJAFqQ8qqrFfqa/wfAN35KV6u8UcvqfoAnC7Sgs852Z
RPO9xh02f4AEisfdrvIXK2J+veBn7h1Ycoy/HiwR0jKg+YcO7miG61xpUeNzbcCKIoM5TkOSu6xN
6bDhyaJmAAfJCv0sEO6BYT+DKgLVs9oeHabUo0WQL0tv10CKny7o4r4q2f4uZk6/5xUotFZTYX5x
jeSp1gvgn52WSylR9pjI2t3q+h0MM5pkOzXjXSw2v7cBD/Eel3kkM6xV3t6tdkSTkqQ27cNQiQW2
ro2UbcDc8UYgzXqr55Lie2crLCEQbiwXurKBt8HtHiMQbKUY/uO8bJdBkuN+qD8vBilBxZp2m7Jq
7PS01PaErimojurIfkCmPzxmtjxcKzEfxU6On13bRt1ypUpkErZuLaulG3MY9m9wLdT+nrlAX8rY
UNRuEtXTokz9vRjzNFw3fOQvq2HLbwOJ9T3iI5Zwnsu58e2CFIwfiQeQ2uJynRnm/3lLn4VTOAKG
CdGZKLFl9eRVUn23+YpRDipi+jo5h6PjWAJcP+XOvbgxCctvhcaQjN43X2yfq5T8mOsF0XSYGQYM
pDVFmJNG13InIy4Ja1cqNtdii5e/CDnEeJq2A+FHDBNxJ0bOH1SOeQI4EDjli9gGdrdHBCVcBtKk
17Xm1ccoqbqBfh1djHBoMVJT+xcgy9XWQ4Y8HJ2vST31dbFCQC8AiCEuE775+xlk0+9DmKY8G7Nk
56J06OiVYXHusn3Xb8l2NI8lxH3Q2itEkrS8kGLvcC/ZcgsqcylwURSfv46Sm7VbjcoEQlkdeq8a
wVF5a/JRfrUNqY5OHmseO0NTf0frMTQ4Cs38XCOJt2rlaubqnNc2PeMdrxGdG6zOMtPkDeIi2N1h
es90X4hC3wm4444rDpbopSLHPt0gORKH44S2empRi8hVMyXeXZJxrap+L2q41IsRRYYCLLsZUhEf
tBFbc4p+4rdBhb3AAFaEvG1I0A/zUeJUU9UIGlPYXV3NFYiiU4Ty8EcxrPF9a3yy9XiH/M56k6V9
c2gsbsEH+d0Qvv5qpKBjV6JD+Q2SIdyz6jBTj5lZfTE+EPGYIIrBjM/NChC490tucDPPYOf9Lc2D
RNsxW2q/0CEby75W9RZ+8UgS3SpusAtIbfAWErTqmAx1zvPLpwAAFmdcM/a7LOZdnbZdx+PtGGz6
tQZxeBVcMmHjRGd/LPJofku7iOlcp0q9IjydfrcLYXt35ES+JTNO3TbBxP0tEtYgeKlslnO6l1il
TWkPcSLaNvXJ22Gdr3Zg3brNFE3j3Sga9CwRY/HXkmrAi6nPkAyQA8AW/bzy2reIK138qa7ZwgFz
5PIr9whOQHx6xC1Yfp/8m6EMbWhWpao6SYEv0y9uw0f7eqt0n8Tg79E8b5hlgwi4EA2I3nyCO19K
YGrr9k6CK+vxt4ifkEJItu2pZqSuTxnietBsHFs4ujgXCshUZU3SkeDjgkNl3dduAaf9NwtVguhf
vIc5uyqaY/25DRZJp0Nlt7wDxoyxJlS5BdJDymW90TQjAjGdeQ50COF6QIn3dcL9cjEWj5Yd/M4l
5FC9NwdGoTFCttdNfkeQ/LSb9ThnGXoMKGBGyIDlKncOgsarZ7bbLMFfd8uXNGfo2wKLiTxHoL60
K9VcPkkB1UDrg12BuHFZfUEsXV61Zi3tHxjivW0BhiRrX+I1r73cyQTAam3GRxcQjNMCKOHJxUG1
e/SFR0IncOim3rF0MnovhkE/g1SRmO3DotLP8i3eZ08tyjQy3PDPZ3TTLRlS95JF2jys0ht/gVyf
PWo1pllfICPiyTQIcESmt0HquyqPDHRVOll0AonOUnK2DSCjVzmxERoPNrq0WxY1x3tOOUa1Aseg
bGtjC39aI0F4JxHxELfzXqdX+7risrsV/P/LhFVloKwR9QSsgi4jivGMDTVDKzPiJjrNMYiWxXix
Y17HHuHEK6jMgRncDYfg8aEr7eDfqRImuUyYUq+BqeYPS3WUfyfcJGlRt0YTOo0FVLWFEDE58zjy
2O9D5l6OgkjSpukcNLIxqKhAwsyV7Fa5QvAdkI3la4gu8ngA5oUeln85kKFWdOBpjw3d/lHfgyTa
vw2QyCUg/AGFIM/2iED9UgMiYD62SLowaOhH0xlnk0ip+IVr7yJASdrwlwEM/XqSFWlCRzAfPDae
oXOCu2if2iTREThzEPx6yDP4eo0HLdMWSGZQfYXOde8sOD6JNxkXDACeFntXsJV+bfYUc3UK0+Uz
KJ8UEMaWWjRC1vLW8BqcVKjM+mhntLw9Mrn5teQTegw3Erf17pjcr2wIiUC/d6x3jEuRXme4We9l
jzR/gvY3yrYwQwOENVH7fpJg++7jUgAAm8bCfPtfkgG3GTbrR2Z3/0DUYF7JsGzi1Owb+yhyjuN0
dT7+OgLZH/Kgpo9tQYQHhoN8eFiDKlGChiV7dYIis9cBfbqqsiX7PViUPPxUrDHwotH21qv9Z6UI
gPkYHRK3bD0JWJIR5YK8NlaccM7RBzBo+hmjaly7fCzCD4ikyU8FZgIHWTN53QqbEnaPxFLwSaPZ
3Nc11FOA3j/i6oM1q/aPPUFmC7r18oMgyDHpMIzWX7LsYEB6d6+/ES/RWU/GJveCfVYaP03Dk8Lx
abrDpO4W5AjctxAyVwRXd+q0vPdFpCWoGSmefBrQ7+Ij1UPmSYloQ4fzrq4citVelcnzViu23eqh
yjwIJumKfqwEYErEaNfZld0oorIKJKwUvUlV+Isn9Fms0GrybgWc+poeE8BSbjFttQUF7DEimqS4
wiGYAteWA4jwLMrliX8mDZwblYU7lL1cYfxAe9+WNVn+DkRS2ik/bRiFXb48M9/oowNfPutzQxVC
XzI/p087WpCkK6HyedRo/3eUg3oC+QT7iIUz3ic7muzRIwF+kKtrOWod7ElursI1hSPwoy4Yo61M
LZUdFkn44SwjL2PK9hlU8L6/Kz4ArXW4TA4XZXq3PpaIJ/294+R5ANKcPiKzd8keN2jhB0B2kuP6
jU+G2DOV7t8HIH/JheXBPsok1fJ2KE2M7YbtVZ5hRgT/x8hn6PFn3vBJao1ePq/n5vNqR03mDhLb
6ZfiwGZhosQ9m8hn5xw00cqnxwxuWHvajdtP46BB8XtI+fB8Q4amYhdJ+cRTzjc86hG9wgI16K+E
g5g+KY1S3AXmsWLrJan+mjwJzzRYp2/XusSRE+C5SbvKFf4dOHhFOw0R8qVE9O10PVPI4z+POWRi
ruuSo/1bRuB2iKHJhg6wbvzBvEvfAhd12rqMk1uY3pePsjoAPCPoGYGrDBTwdysqV7UikeDwi7Ha
rqUm+J/l7ja0tLQSRbfxuvgL3qMA2wEVwSdZLOG5UlRjzEJwfPIb2AlgcYWi5joO+jC7C7tMvglC
t+xEcGfh3B2zqD9x5AFkfDUB/+2RJbc88yMPvzyUXG/4QbilBcOGUKcK7pCyo5vT5nIgP/0GgE9y
tAuW0Fd0S0r0Yz6QpFvqSPJLSE3+lhRqfoVKdfppgc2+Ic4znS7gqeXrxubiY4/L5Fs0PQkwf3Bz
v9Zlo/ced/ce+6lwTfobwvE1ttnAEAKA2ygov064OL4rXN9V3GSTGvbeQA2ChQxj51/sR78BPdzA
E89OBLR4UN5spxI3pq4nvc/0ViNtAnSTV/RjyCWQgHSph37aj/I4V3OEmnC2RUIwMSxEj/djwSR+
M5gB0nms13BerM1FJ/HublS6JOCSYcj84OthnlYV0dSSQQ9FFwBX56dCFZ51ayLy5DYOYh9aBBMV
byTzYITUWGfmzDDAPlecpGvXFISE63mfshfIYZEMkKQTeoNqQYbLYlKgM+NnH9COw7A+CJWvAsX9
UF/JDnoMpzRu/GhjulZPiS7deD6IkT+rFd1RNyuA1a0gY4HzLBPri9l88QeeC+AzitulanejYL74
QZFkmN7nIWTxju90Jm3OB6BNbiyqB2h1V97XOIcjqPZ6Q1EihYW9ziEd4jziAhdxGcRWsdsM5QPI
87SZ9IS7KucXxscAuKc4yHxaoEuigPMywMqrKWOXBQv1cMojf4Wvq5StRJ7FiH++x75UWTQtjkhw
HBYnzYdGiC7twfikN+UhB44My6a8KXlNPAD9w3+d8Chf1xhhMvasmZeOcNS+zk0ZLh8matnWMyCh
8VFPn/kc4ijTV5JM9jv8Hth+yg4QoAS5et1PtNa0G8kKKQYd6uxaM+y/d+gEUCBppUB0ZTmKLUeb
hc2psn1t0xkQA8JNII5EbqLGEDuXm8HdQDLNL8Ig9w2nQTWcqMcQ0VIemrNyhrA7XKU8lG3tEz+3
o0MyUScUANWrOpTFx1ps03eFkjLhIVT2eknREvU1NFD0OXJh7wJNlvkO3Vl5d6xJpS6FU27uikJC
VIPOAWhNmrp073FJMAEAE0csnqkoljcXLH7Ils/jk8TQ9d1jJoDFhywIOIj1Onzj9bgGuCljVXUA
/kEDgOrdb9cVbcpZAlPnncBtuBb22Xz/ktpj+U0EKeZbn5XFFdzX9nfpRHFKssluXwDdg/MyMEUG
FKWt/IvLluc/AdzqhwD6+krXEtKJYUWiT5fzEd2b2dCa97Nb6YOB3AMKMXCwyFFywYNycJR3IUMM
OUI3j/29YguKoJ2AluMkMdXeMT5rvIqjwtI39apoqyZNXxtIj94nkfrXZKtq28pM+XeFkOjPG7Yd
eUI/EaFQ2fDlq1p+o9Tur9wvSdOiVqcMHijoTqAcozualjCuMyKPShUxu0Vt2hkBMIAakCAPmGut
9rpNrafvRWrotzyp7BMlGFBbXTv9O0tGhX4EQ9DaD6A1ryV+IFq6wea3M1rSshOz0ws0K8itRthn
jmBat0Jkga0v1wvOwulXRY/CIF46xBw5T9tc9pQU1dwPeIBpB1luhb06YB10c5bPkC0jMwz8+QrB
VvtZk2FawQum7Y5rpe5UDbgTjBxfXxEwJf5w7/YFKvwoHpRA53kKblxBa4HelX3DHPVnz0Brb76U
WxcqTvHLBrhET3HAAQNuvPY/V57wdwwE8HHPksSXLA0JXCtkO17oGNhzFlwK0Cg9wMLh+FjWDnoN
MNOiNsuDM8P2RdIs/7YrTPpPgJ1y2v0PZ+fVGzfSrOFfRIBkM96SnCBZ0ZZlyTeEHJY5Z/7689Df
jYYaDKEDL/Zmse7pZnd1ddUbKpBXPyeYda9BMWXfGiMhxQYBHoMJi3zxHOpTAQN/isSdRJs7PBZ5
UL2FfbEgEHmDJM6AjFt76OQ8kZy+s7kvpKmLaSfRTHwyDEAtcYjMpTNUefu3h3Dx0+AJGpBvCM6n
IEkgm6DHZe8KY4hat2rm4LvSKoCJSjo6i6tGSLtCLwbWOcqQn3a6TlUeRzGMjxnmZCWlSy1+A1HH
I2Rq+z8jyOLMCZtlFzeNFhXHuUzyl4KGMBvaTsfIlSgMyA69g9B2KDpRipqNJLwN2zI33VpTa+7h
gf9pX4VaF2LvEVIcT2VpSo9a5gMcaoKxfQwaH4hFvADtHU0bwgk8Wie98DZP74VOqZuVj6X7sm6D
B+g0iOf6Sq5dqUpLDbheIEocOF1HIDIpOsszKao9U1QsX+VgUPWdKafUZfs6Uu7ATOaGC6+EwhXv
NYOudKyYk0ucBbxB6pU/Th0WMZ5UCT542NJK9jgCsDwCEHsvUijK0RPhJB8HifY7MTwY36xS9590
shjWyZC6X4qY6fKj4BlhM6PoEw91aQifFT/S/WskWYf7vEIxZs9RILABzeOuLHS8kOnA9lVA5i5q
6k1ZaXBVTEV9I2nEFsdsgzbx2lSrZkcyJv8evkX/tVet9levtVp9VNAM+ZKntOLJ3AqftqSmv1HH
Gwh/Zh0cCwHDnlpsVBzkoQLZM2pS+YWpNkAbcCAPXezdweewfxgBDfd9I2fGf6UWpsZOqvv8bQkP
vNLoeaDlTSZxZfpjhqwh/dLXyhoU+A6hCHJuKMmiPEON4i6tIRcAjzH8u9lMcfSbKcSBRQjnovds
vwhKUiItup71nAp26YNTp4AB+mNfSVNyl9gFl2dWZYPK9qnFdaLTc0LzRi4wlW+N5KvcjvHvoZjN
nyF4cACZoZB/NHPFo0hPUd3RxhC0TaDKcAyDTvZJy41e/GAXxjdA8X+PfpNWrshLsj0zIj83Z0tF
ETJP5WOsluCZxpkmJwE7rsJdbJGyO73ES9SJadcBNrIH9QpQTmjtULrDm8nIJfGWA4YjWgmu4Tjv
5WPYVBwJCv/2Q6OW4qGkAp17/iCG10rl1mTzacMvNcduyImT2PjSN2C/nNwuoudhol1GTWrQb+Fg
D+xwwJXhrgPYV6MNVWq85s2ELoZRK/I1H64Gq5GM0lNijwFAtgWAWOg4Dh36qo8IuH7+WkMifRlE
U9zlcjSKY5yW8j6XxlY7EFyrxDXbog01UBOUBLEDop6Q9tdJTv9TWTqJYOosx4RR2h9HW8/oN2SR
0RCBVIq9GKVAdEArn/Z2LxLOEx/Br8ExtbpB46O3bpMhwtGsEZTHbyGVUT3Ix8Qw8ZapwedSlqBa
wb0Rtru+NFOxxymIknbcifqliNXh75BzB6HIRcfZi9up+mbaipTeAPSNvsREi8w1h+VVRY+ZHwFc
Jgock9zrBR1S6QusRdrY5jzEb1qoDX/p8TFqnTSJ7VG3Sq37WssoCONwOPMeQP+Wrmtu6fUPeHCl
/iXUi+g7oIO2JeHqyw7ITCSBGRmhsiRuXYLAOgaU1Job6LTNbQ/QvHMtyl3zEYfEMgrv6bWO6hMI
i/kXiVcPHn40Nb95boMEKsiuRoLLvJJo5b+h8j28jIEYuwM9eavwbF7FYCw6CXVI3tcUtwNzll5t
JNGQ7bIM+y7sEjsEDRZaJNdF8a2hjQ+wSo7kXxLwiNybo0T3d4BDbKBRPE0zT2vACNHpXg6A1k2I
Faq51VeuxZ1ikGGbIM3o9NlPbVFZj3MnBplm5cw0YShXB5C2w+3cNzPlt5nI4NEY6b4GgKY7+kNK
UlHTtJLnCHkE4XVFUaP6AwqQJDPJJmrFjU7IqZWER78FMEQBMta2LbgUKUxoMUhsG/q3yDgm5Wz6
x4racoRIEQmuW8gqLUNacLmxR3asRJsJKTVrT+U+4W4SKq05DRg5mnH1zHM5r3uVppWQgm8kj0O/
C1FQvUZMRqHCIueSxOO4YfsOo4yqQhVnk+8kE+GdPiIFnytUwXlMAzgxwXbNsfKmJ2oCfzhHRhO1
1T4ZvUz02p9wzomBUoQbjSOJjBqtHYMBdjqC9dc6rdLvABNFueNVPz73QZiFVxKJN72NqBSPZqCi
sDUqJTuyNfJWoWuoKLcDyc1bFffWN+SCbcBHuBX5u9SeoXTOQm3vaitSf4aFaupeHI/y1awHRXlf
20X9OEy5LoPdsECwF0tqn/kiqV1N7kCFkZFLMK9zo/mRhynv3BhZUII8IE7fozKuPRIO6CHBMQOS
K/JUkgC/Sd0DYWruXREnYBzLGEWjofp3D2it3TuFXLS3hEb6xOCI/BeYGOlxQll19AA80B4E5lO9
TvDjGq8C8FZd45si/xeMuSUOskSNz6VMoHCVyAYOkgQXydopg+D5ifp5+ycL1GYgoU6CZzR2+8cp
rHtumNII3qp2mv4LTGB2+6S2k182l3S9MzhYdCKq2KqQoIlNcKETKafLjqfZrYUS5wYWA4kfT+/k
NzX6/K0ozWhwFKThn+niUqMZmna6LYrBfkP7BTQPHWO9ogswx0CWhWT9SeNs/hXxtmJWSgqmrcvM
XnPjKNbbpZ2n964cmenPCG1XjHuUGbq9RqWOrme0cDqa3gYsmhdzBvhElvn4AW2762aY1NaRTXXQ
OQeaFIIyioN6Z5U2sGvuFiyVrECbA5eGbHWH85g8eaZsyDd6kGM2EClDWhzIH5MfVUFUJokDetSp
JaEfwGP2G7hp/ACvtQVnGKmZtAMR7j+0xKfQJc1XeKZFRfdNBSv+vaR386Qb9BE0bsebrEjF1zgV
Wv5YxUOH1I4d9dNRtfrxWxM2DTKocy2QASrT1j9MhYi/dqVoqDwNE6SVSZ6pNpK7IJo6q1Zi7Xgl
ScYu0gqei2NTGbWntpyaXdBGI/HRHur8KtdGtYOOO2iWTW1VJz7oouU/h9B5fpfRXEouWmsFigax
MsW/rALgxAGJjN6/7XnjAOjCqf7rCG7ur8bTgE+tLGIueUCt3ddC4GQTCBjgDa2c/hrq0X/yyfT/
IAq1lFmncdAIBOSAO6g44hU+CEiPDHrQaxWNXOR1q9iHKh0SuqwwhLLjCL7zK2+VEmPjWG2Az+uQ
gwZlrhS3SWEiOomqpikIE4oknu9DkyGPNM0HatNkmzqsgC9xDfzOi7CYtGgedFxPgGvEszpV0a/R
AtnrpqlJlgv7r67cSrb8hzzWwBmR+ZPk0nYNk30hMuOblKkAeTpEQx4aSWlnt7L8bnCgv4FmKk25
eErMaPppdYbyzaChJe8Uf5YlL7RtmhN4QwWRm9QZqWkqifxRsVrrK+6NxassNTqApaIIVJd4SPkQ
d7j8BkqalMNrrsUbevIAPoHjZlc1xKt+p6D73rr8HvnJh/N8Pc9DAUaEAuqfJomCV5VqGojaaswi
OrFsMUcVmTSBFOwX3CUAN8ABQOB/+PkUah6IpJk2vGmVBxD2/J8CbF3BvUf3jeQYSL7TCXTSdkHd
mndtrEsjoTpVdGp/cfxSl0n0ZPuJ/UDbkIrL4PuztBS4xsKxDAlqyxhppPsTke2NpIGnhgrK0mkL
yA4OxCr/lxFSqtg3dhVr3gQWwgbn1U7X2mxkaF3Iyw0Ty1Ua7bQ+pCybgugQOyWzzPvl3akTVLr5
qimaoHb9rqe2h36TetP0s/Y9SIhiDgKXEQ5EPEv2Vl2SziDeXP83QPi7iaqsVb2+lumXRxasAlaa
DenqbRWkTj9P0gsERL7xOCGJbkWz8iRGE6mWCtylSmmMFM0ZkkKFeJPk9mOb+LPu8FgPSRp8ReFA
yKr0fYjE/N2P+k4BEL7UmRGD6960uBGVOw/UYdwZBwp/0RWcaLhRM3rIpjKQgM/yrHYmYSq30MXq
O8sOABybSkZmH2hmi1mUXQ4jkZ72vNpMtHrnMRn8PUBRLTimSmM/SnmIioZt07H/IvqBbgbt8Mbz
CfsNFAvu+is11mzJaVq8lNu8lniLtrTddzxW8xgaYlwUj+qkAAsAM9ZAovFl+l1w5LpdNYZT6dXy
qGiuNUOBdke56956MUjDbuhqJd7boZ1wpkLbINMCgDoDnwuC2FMoCUZ/xoDCzK6bJaV3swICPInZ
lAC5sCs1ukZ/zM5uhz6yHvQoSStP9HMKTasAY3cP5YemdgdPgcWoRPZHSXKl2U/h7I/eNFKy2gch
ibGnsIq1NxPEyS1iulQsbFpKClUh1f8aVSa5RIX1hQTQsycJmTirf9N8xFA9gvfxtWgnFF4WG4Bb
DBHaFzCzGk3IojFuK52+syvmqQRabJUxWoyar4C8JXI5Eo2UO8VXgLyMVFJB4g3Asr0U/tCfwi+n
70WqxPcaqHR5AQxSO6Yaa/IQLcr/LL/n8Uddl1oh1UMyrlinYdOaqfyTjG9oXZ4oOSloX1v3Sikq
5eBr1vwzkAb5FoppL3+BTCb+DLoiluJMCjwTL6HgisJwONMflfN7yAVCAcMvupA2OwYHLiAgTpQ5
xvJjiOlB4haazAfrZVl/6pqatnLVGbR3E7mxryYpaIfDwPf+NnODj0eNasZVTPXksRU9NSQ0zrob
ABHckgXokzuyA66LVG6K3pkbihgHK6pqClgqbIJv1CRTUpCiV8FL5Yn1aGQFYFium+C+SkESOz2r
/AOEen+/PPSA4sgpfDBJKpoHeJL+76Skguz2YuSFoY1WCkwES5VXO5w4zEEZTib4rJRyRRYjrLtD
DU/7nVJsQxlWLcOnUMtbXr6yXb2iM2SkFNny9HegVDUoCD+hpASbOy3BpOflk1KAACDIgr/QdDSP
najBlNzjFE8/7cmYe/J4ARZkoFSrg8IhbQQnraVftQgug0sXyvilW7X5yB3UiH3hB/S52br1Tm6D
mhS/LkXpLtF52qsxxZ1dPLaUsXVrBhgZWtn9gkGdvHCsxlsyl7wxjgEd7WkXaopVIS1XSbdNz615
TIpCXFnURFTHQmCeJ3wxlsp9AxnwT+3L870BW7R1BoAV3bGdqb89wD3z0TaVzIK1CTW92OHi1Zo3
c2uk5TPvAulZsimM0gYqZfD5RkyW2w6l8prmsyaTA/I8+m0HcS85PL/AKPoKpKlDWYEa/2HiGmrT
crFznSAhKI2Bsw0owgMAiqbvoEt7/DZsqEt7UcLlcYpuwov2MuN60RJ4L26AeQDSn8g1yIicUYVc
kbtTZdLtCuAPDWFN/Sl1he90SdUdzGQYHyQpRexV8gM+Xdt5adIph8vDrwnfy/B4tULHt5CxpQt2
yrWGw1q3wFYyB+oVz6EUKHN3lEEJCtid5T09CtuZdS34Uo8psODLg69dxTCYY3RVluk6CmPRTzkd
HZ8wQ6d1lzuJz5W7qxWfg5RhC7hLeFVEwJqoogUws+mfR7yo4Ijukhy0CUkMBe/KaF82ftGae77+
RSuJFQDPflVnfI6g0IjDtDC9OLBVl1TpuSIVJvDQC69ho+3SdtDR97KmQ55TAVCHAGj4RMkBPIm9
sVJrCYB/PwsTw0X1VhEflMWqkQjdaTyJ8yyg3Ap3LgDYkVKNTJrCKLzLq7DWhlhGWxQ+zEXdFEzM
SialHLQcm3eQIMCBrV9aZArgcdClSAtHffyF0a+6IaJzbhsiuacY+rIHFX0lfQFAsimShj48dED1
wQBmQpqrgMVt5fEK9Jx9KHO424UwPmf/sFgcGiCNjWUHMr6y2oFWAQMR/AvtPoTwoFxR/o3K75nG
XXBFJYjW9uWl/TjR0/FW+2syJIgpZQnxMJcHXrTDdDsx7hfwGAKseNV6lVVVX209DfaXR/64sxkZ
8RkdUWMTP6rll72TfGomvVAijZ2NQ5J8HYBt5eIti09qtfxbT0wC2TYwMijinI7C0JGwK060GJT2
Wl+gb1amXNOUH76Z4K039s3Hc4H6NuGD7jENQb7m6XCWZvt2JrFT65bbrKU07FJx/AG5RjleXr6P
Z0JDZ8PEjZx2D/q+y/K+Wz6oXHU9RtwNfqVWV2QwcLGgD0cuAE9YyTXl3A3b9bMjCoSYYMBDTVir
Fyq8sKus48yXoTT89icKXXYbL5XEOkweUGu0NnRGzu0QrBMsiBAW8k9rdfEBRwiNzi3RuO54r9hz
2ZReaTZ9/v/YilgQoQmvaBpfbbWWEWByMgrWcq7MCqxza4M5GquNUc6tH3LlCuApXFDAxJ9+scEE
p5uEjNKCEDCgFtrzMQ7VejdSY6WDTy3s8hY5txlt2QY9QFpGNFudMKOo9WCyli2i9PbjkCMM4o5B
YEq7LiWp2Ygka5Gi5aTZwpRZRQ3ViLVNSWF3KTkwzONaCbK3iIYe+NAE6Mpc3lhNvlgSS23/fHmK
Z8IXFwMiZAqxEqdn9XRNZ9+ahQ5I1EFTAEanYvqHZqLeKrJ4X6W+RRVCaAdNAHjcmO6Zr4kILN1m
NJkILtoqUenVqAitipPe+J31qkK8jrmLlf6IWVm3D+BH7y5P9cxpWBIyrFmEwpW0Di3NYLdg7FJ6
WcBDPR1ly30niS1X8jNf0VRRdDMUVIqQfl5NC7maIM6XM+eriTKCek+a+CCaRpH3Si6DRo5iebpX
wP+GGwHt7MhcBFDYMAtEL/30U/rg/sc2wyMhtjre0ZBhfM9vOBsUSRrlF7EdsOsAldPfGPjMMWE8
mewCsWvwbcsPexdJayjvJgxTFjYpx+sml/sdSrDSo00FZSOinZkj8n8CAxOOymIXfjpUlcrqPOgZ
7Hy4f55UAy0b9RribUQD6bEEpvySKPaWXvGZCdqLNjz+QToVFHn1TSFMo8Hcc0giBQEduQaOBLXF
PwQyLIVPb1IbzIeNywa2N4hgnk4whnROPYkJ+ggCeXYLjmmo9C29t49HYXFckDFZ1VF8M9aSgHJv
4eJR4QMjISBwnwwJeL4w7jdSsTOjLNp4/CF6IqG/Cp8dfJUs122a0SYY0VLJddA6ofHpY00WzZFT
0VBUZdTPTldslMN+JH0HZAFoJLuvEdcpvKKW2q3zdWY6BGYFNXuZS46dcDoQHSUtyKmfOvOAMmmU
qbULYHFDcfhjVPxnKYpeFhbxpD+r2agkLMOYU+Rkusk1wTOadlED/qMcYf3vYFiX0+tntxxivJg1
AlHXF2uVVdyIgHVTPyBjFqLkyRZa5b6cxtG7PMqZiZkWcVGTudwM3nmnqzeg3xrUScVT3K5oGaah
eYOZTLO3zC50yzHYMuc5Px5PAIxMye/Wqvi9KnemSV0HCILU0P/DTpTuqh/AtInluHjsxlr8vjzF
MxuEKWJjxi2D5v+Hpzf6+LBWWMgpzCOYuwXdhaKdP7/f0eShMKaLJeraK/ltuzHguEM6cLpU9h+s
EcJTEyfThnvlx7yAUpTOVWJyV0KJX51d3wiRm1rkMwXWdiC1UWWBNTN8A7JvH+zBgoObBCMtvKbN
DpeX8cyXI91CL1DHq1ChlnK6U/pIjqoKwxKnMLTgBQqQ/gI1T2v2aYFsh2MkQIr2l4f8eK1gTMFS
Lp0cbs/1pR0Oam4PuGg7vsjngw4q62cq0ZG8kVSe5w8+DF7FKaqQeu7lgc9sGQtZT4sDaHH+1lqz
+F6SwKI36PSoVd3FupY5TVkOn85jmZ6N7qUK4QrJ79X9VZQjXH4L4JedWvkBXqOPyJuUmxyFNM30
jQ16butwNVMNXFYU0Nzp9+sElljgVHmXWmN0QNsLbF0aSajS+2Z8ix7hdKtTtDsIkuunzy+nyTLi
NmKxffRla73LRMyI2nVg6KD/ATM9KGg+7Qo0FTfeqOc2qKnyJiaH1HmqrnJmNJ9KgeI8yGQjMZ0G
wMJPMaLqCf62OsITaY7/j1nxlEbolmcPofp0VjNyKgUUQXanVpSRB8u9NIB5IZK1sRvPToxX/pJ8
8G9r9dZHmQpYKAoNKLj4cAhwBqZh0hT2mB6TTJebrzPMn61K2JlBF5MU3j0sJlf46mKYVWDK5QzP
ZsKxjR4VFK4JHHyBrk2QZd7lpfyYybE5eKHqvFO5FcQqtmRDAssWWR0oUS3kIjeaxyp9gftlViMM
8WlQt151/3xRTuvBi2UKLyuLdSV7WH29MbPDwKA14dgcu2wX9a18O4woiNlRmx99i9aRElXNIQQZ
iQegRHvKCSaThmCGRt7G1j0Tb2yETwjpwiC2r9PLcACZiTtUAbamDnYY6QLhC1CKv7zK5+f8bpjl
M7w7h7HRpr3s437jz/NoOHW3iGthFanpbibs9l7PQulKHuivWSmKtWVKKxrhcgtXnlje8Kk6t7/4
4v8zViAyrE5rgZicb2pMOQA77mqgVf+KukqAhMnBdd/wRrs8+XNLTPGbu4SbczF1O527Zsx4UyDL
6Ji6qNBdg0FkTtmwMatzG9nESFxBHF/wLZdZv1thkMFaOna8E5DQq179OKCPWKnBG8bbW6nA2Qnx
5loUysH2yqsFRB0ZgIBCwlFjIu75NYhAGjXhRsJxdhRIJQQeah/E79MJwWvySxXbVGyCg8jaI1Ok
dR4vLRjQl7/PuZXDvoerlcI7xYdVGl+T3FuQWhlIauW9BDLdM4vefCxhDH/7/wyF8LO9JNZ4gJ/O
KWvGprUlPlI5tuW95bchHU4LGC9ooiH+/v8YDLcrSnCk2Mr6FY6cTYg6NAlvTwNm33UtxpcgxL2+
TbP95aHOfStSNC5A5Ji54VfzAsOkGU1G6UYIPXtEysK6M6ze2ohVy9+yDpyIJJtLeYgbYq3FnKe9
MUUz+y5vwE06HVjRK4Lj8BxSodqXHWyfy9M6tzMo9gFRBK1ED2t1/YkW0nhm0DpDTyt34xl6XB1j
EkZeH258rI9zo1qisSm4+KhkrOc2aIqdNmCqFzZ1fQj96rGw6mugcsZRrqN+Y2JnRrPQXcY+Ac+X
BW52ug+HTki4jdNe1wfJuA4yW3rC2gnqjtLND0j0+Rv55sf9QWVdwTiHPEKF6bo6y5FsANiXCkjt
9NhfS2WeqLmpw9fLn+vsKLgccowpZdDzPJ2VJPXGOKPOBKINBVatD+o7IJxbnkpn1m7JhWi08Dig
6Lz893eBlnI97CgLXH3eT/2DovgLZALW77WWDcYPtfLT/z49LbYgRSYVtXo6PKtpCSOtoyDkSYDC
GMl6pv6JcvOTHtUUFngPaIQlAjqXxzqlVCXEJvK553lXCFR0G7RjqC5ruQsUA4KazDfbOM0fvxZx
Xcd+kzclKea6IVj1JQyc3gbPl1bdjTnH/q3cDWL4dHSHUiGbOJebRHfVWkV3KwPvAwAkQRmjLXZZ
kv2dF6hZbcRbNlgfJmQIhRe4KfNEVnEvXx0qlH5rqZMhIirVFL1mhVTukjb8dH2eUXiakk4sZglM
6HT7AQQF7W0iN1xDw62cJLeQwhmmIRG3fVcC24sbGxAdPHkOP0qX1Waf7Nw8l7DBi5wIQsfx9Bek
vHQWwi/opToFKxPVIrzRIj377P3PdbJ4bHExczMTGk+HkZGH77SljActzPJsMfzNARkfL5+tJdc+
uVKoeC52IUsv3F7+OR2kjvKmbhvjZwdHuCykRyM6ZrK5LxTVwfGGBAfSF34NG3vyQ3VhGRWyEWVd
bREMWn1DsISo9Y7Gz7G7tkPrJut3auG7qRF78/xyeYLroagdy3QfMMmh4goDehU8InQlZqChsIKN
MbhD7cR3uyHrv0jore9kA54alb1wd3nQ9Q75Nyg9fnqaKinGurQXozqkD8UYOuh3JI/wA9LdbE2W
d3mU9e38v1Escl4hFmO91XmjCR0gB8zUQmhOA6ASaSnFoqLkwivfAkycGWwxC4GHRscbi4xV1K+L
ApsyfUEjhj5jDaX1lQuNG3Ns/U9ufOZ1MtRq4+uG75tzxVBwEwdIDJl/QFzlsynbMgqVH7wxqKsR
SVZxseuUEOQ96owEGf0w0DWm2Tab+8vf6ONOoDsLC4I4RbWJ+sjp+YJxMMe6ATnRj8qSV2wTorCY
fjby0vk5GWV1inmQoAkw8nhEENR30M16lRPl9fJMPm4AyhFIs2LOsXSbzNVXGVOpVYMZKTVMi4w/
yoieQwpBd9GVMLeskv5t3fdhiQSDwSgR0C2hv7R2qBvQSNCmni4WXXRUZMgZJcjaZnNTS1l1B/i2
2LdG1x0Rf1XdMYrVK1Ry043Y+OHb8UbG80QBvWUtHM7VjLMKhfUsNF/sCAZAhcyiOxrJVjZ1dhAQ
HqwpHRtDXg+C7AsywsFrMlWZvROV0K9zvOrsw6e+3oKI0XgI0UJhIPxPVrGiS9PRDo1xcDDDC0Eu
l9Z3dFOgkGpxuPHGW83of0OR5WLVSg8bO8PTLS98M0pyklvHyCB/N0zQ61JJ+VyQ+DcKrZ9/k8EC
c41EmIsCGak8hGkTqiiwwYi+EfK81bBbw/f+NwzdhcV8j+eqvlo3dHN6+mcSMPper4/xWE03qMh1
d3oX6IeQBzPMrlGHiAl/a0gwUYEo3QVXOrotLp9066CvDuG/n2PQCliOIAnxh3qklatI6CEVUUxj
6jRakn4ZkTPYR3DbNgy5/+HC3p3Bf2MBk1PZODTvyY1Pv6OmZUg/T3zHMK6fOsg9SGeJw+wnRySL
j3pR/+yi4WenYJ+j+d9yvXsZ6UBPZH1Vm1yhS79Vp1hi5eoHcZFbXOj24pW7RgtBsYCVayGRLyu1
Lf5m6L8m13lDl/MB7cw82SfRnKlf0YSLfs8RatQbaKUzi7/Y2MpAlQBMIL53uiB+Pasd8p+9AzQM
DV+jKDzww6VXhXHqXT6uZ87QyVDLT3n3xqqUSQ2nZduFrSFdJWyIG5LR7vMnlVFszihItuUuPB2l
htbq5ylnqJuDcK/ao7QvVbSm/h9z4Vml0AKkCWGs9pGNy0KK9Br7qIjjn7Cimzupl4yvl0c5tzmA
enAkqI/Qu11FHQAXQdlnsKqTSIkPWLaGJowQJdgFWtDeyCWqDmpXlteij/vvnx+aOwpUGViPjwcF
anWuDBnUQkFx7nZU9OENXwTpCqq3/pChKod0mmE8EPu3sIEftwnAed5bwJVIpgkJpx9QGmjtSHWM
foelVbdxkhfH0G62ui0fl9aiA8inky2ZB966Xh/KVW/IZTY50PK+yob+1mvWkz8b1z0KLmi2tkdT
qz8HayH4UJFUUQugzKoC0V1di/CPBp7d+QTzFLGCF7tEGPxYKiIyXCRmyxDNxiagCYNEZ/x8+XMu
O+U0zFgK9xZ4BtovQGpWQwOegUyWMLRlAMgWox/vijKsdngdQXZo663Kw/L3fRxPoxUCJhnw6mrn
Tsrsa4GKHk4zIHegjln8Iw0Cfw/OOobcaJZHtIi3/P8+xrKlHQhECVgpO2ddLQ/xGoQYjb4igkaS
m8iF5CVaY+9L9LU2YtnZoXizQwJFy5Ab+3STItQ249eIyAzKgYPKBSIn8s63ozzbK/GsGJ/L2nCZ
sbirAVSwZZde/erGlka405YOA0Mf0e6QavStygTjtE9ukgWpzhBET1CKvCxPJ2X7AM5mNKgQysus
ZjcNYZx7qRHqf+CGWWihlfGWz/CHdVwNuV7HFAKghaOBC9Wz9BQt+RubSutlVdpvTO5DWPkHwwfi
QHZF39pY3QvhPIUykkhoiU5Vd4VWSebCDco39sXHUahr0IWn0cmVinb76RKiKtrHZgVL2U4afVeF
/YxikzEfLn+o9ekid+FUca7Y5aqFEunpKDCzFDyfQLp0vi9/He0e06Sgu5qE2TsYEI1f+2KrPfRh
SFaMh8sC215Q2+s3X6qYYhQNRIqoqRVvRL9cd+2ilR4UlJXubatd9Oqmdnd5osvnfx9GKIqppGkL
7JBBAVueTjQdh66XE4yg2n3kdO6wKw7iVvW2ShvrTiZB43Sc1Z1DttgZVco4pffzOffw3nD+XD+8
XZ7Mv/fIpdmI09mMRhPC/GMU9QCgwMHLY6fcIfPi4X/i6jtab86X2rlGPt+Zflwee/34/DDDZeO+
S754PqdavVhqSUfNHVxA8M5v89a8/uy9ul7J5cC/G2dMc/QgcsbRHv1DBa3+GUDztb+xL9a393qU
1fUCHT9OpWU28x5vEBfhQDd3y42z/OGdtB5lORPv5iKiWtHi5XvdVrtfifv0Vz+8PX/bcs78Z+57
aVuswi5A5nRSIoapdsBOXfQHnGfENu9n1/yOfufVxk5Y9vKl4VYh18axkvDBcIP7C9FX53fuXP/n
fttIOJQzAeP90V0/zrMmb0ykQJdZoYDlUixy8QxyLc/w3g6vjfcdraCtD7YRLtYEqNYSpR0uY/Ye
DzsOWLT7MTu/v9+FzkPjvfEmcBDb3LhYtr7fGlwvEOlQ0+X7Te6veS8fcMTaNfvwLrrynfTQORvf
b7nrL3w/dRVFEg0OJfTCZZKhm/FHc1D8dBFn21jO9d282v5ryI4mYUUU0rl0FkS70/tQIYq6u+4T
c2tOW3tlFTQsM26sfDlolv7S+ccIreRSxewsT5Ai2Wo4/6uzXVrAVfCILUnVERz73wKm9/g0eOYe
Dzj3e+RF3n+Q7gnEsvPf1iz/5Z+XBl7FkyHI8BKoGFh8U6+b5+Kuuha//AfKjchul2/TU34d3YsH
/Wljx2wt7yrABO0YGcWyYwR7BuUF9md/JMtzfcd0y12+CzzLtdwtyPaHYst6A60izaTmSdosB4MG
5D46Kt5T5s7OX98pWd5irzqb9/i5AEBDEBD/wpYDx30asZvEynJ52bKYEO8UzofwbDIHzbW/ZC4W
fo/NA4rWh/qg3dhXG6t8Lq6+H3u1yujJTCkNEnIVb9gZz+k+3A/7yUv2zZV63KqZnfuk9BNoWgCq
oym+ehDECFXHU102To36u6zAvkWeSpv+dnntxfPj5amtAwFpP3VPih1CAPIHtHC6qkYbqX6YarMr
iVbs0UdCVVmpIzzWpnkj5mir4MZQIDtp9MNBskx0sU6HSi3VGNUe5ywflvqXws5z8MAi3Yih69Vb
RtHoYPEaWNiy67qKhks1fpDIHbWwcu8RnTSv6z5tXHlSs/u4zLLvUJmUh0+vIhUcnlUk7TRBjWX/
vMsmCoQS6qbEqxHDyXKHLisxVWuzR+Tq0629uISw95GGCfKGo3ADEF+HfrU6B7jx1LNtSpNr5n1u
u2hfNN8Rf0NDqdYLkTylSt8i+JqZ5eBQ2W4kB23E7CGNJ/9Zb/O2QECg7/urKjPUR9AkFR5DdVRa
Tinjm3R5XT4k3/Rc6Y0ZCqUmcGH0rk4XRsNEI29NExNLpe/xHJHSYCIaolkbemODzysy0Ho/xnsc
Tvu3ms7j76CxA8tT6A7O+7gUxhbDfZ1fLj9JsD9obyH1io/R6U+SEGmKcIkfXSwWEoSGhepgRpG9
UvhHjGAoe+t6KlWu3agfN1Lbj4dN8NGAp1EPpkIvVrcTSq7SMMEOcevW+lkB3vjeIj50j+LmFkr0
zEgLk8agDU9VASzP6SSDZrG8s9UZOb3YAEoB18krphi1UPpUfy9/5I/nmhImNS9kA+BqyOuWfGDK
Y1YgZeWaSOHs2nrE4KkKNtonHx45fDZYlQJIJg1kroBlxu+OWEBzQsRz17u+FPrOiKOoE2eBcNhQ
2XXUzcXOTP10p8qxdks3P/2rZ5OyEcE+Hj1+A7ibha0EzGxdaZvmfgiKitNloeVs7ILCl75piQwm
0G7RwrlCvhgpl0+v7hLHIPgA9VGo1J/OO9PDTBSpD9G+KVDAmbRkn2WmOH5+FMDNS7MAzAFM2dNR
gqGnNzXFPTIv+HmihITKMGban14/TRb/x955NceRZun5r0zMffamN4qdiVC68lUoFEiAuMkASSC9
9/nr9SSmNc1Ga5vaXa1upJ7uIcByWfn5c97zPnwRicgaucr3Nv6hDdNZSY0OYYgTj1VxytRWcmMB
95kR91A376fA//d+q1WzgaKSDAg9R/3QZ+RZbDNYtPjDL3G4T0ph2QUwWX5ySPjjhGLKGjWbfClS
bn8QHVL1S0pvNlsHPmzhiiL+Nxkm7VvR1ATPzLURZ9ipHXaB0P4qyfqXb9N/C1/Lu39M++3f/5Xf
v5WYPa2ysQ+//v0Uf2to+7fuX9eX/fNpv3/R3y/Da9P1zetfTi9V+xe/L76/dHFZfHzN796CT/r1
StyX7uV3v3hFF3fztX9t5vvXts+694/jmtdn/u8++JfX93d5mKvXv/315XvO3Ynbrom/dX/99aHd
97/9FcuCtez9X378hF8fPr/kvPK+bF7inIDNP97uh9e8vrTd3/4qaOYvJqFBZijCaqiT1nE7vr4/
pKu/mAxm7OTYB7Fu00OKsumiv/1V+0XWLcRupsnEQxpB50WMsPUhQfqF6or1HdEFo7zT0QP9z6v7
XZv91oZ/Kfr8rozhlv3tr6Qk1o7425qukUlhmib7rFARhs7z/fEfBkY4JVVL9rl0AJ9qWNd1svqp
S2s09Q30TLDFAc5gLYLPF+yJjDed8D4Yn+GVxdvXS5DJXan0iPTDwNEGotcOPLTaLdjbzY5ai9Ih
bUTTJp0ELbCc5OYkd1KmOMmEmUvOAfcKRjW4Tr06CDYead1h1sL62kft6C9jFKPCm9VXIKfTtKp2
4p1U9Di+1cIj5ofxYQzH/Ka2uUQwoG3LlyzEtNvuG706BWmCth2br3OsacWNjULiRBj4B3ZXhSK2
g1ohOBg8zAaoqREOvVAZw14Ro3k/YWX5RcnF9IQtXHKh+C+8SB04a3wVJ4Co+ZRHoDfrNj7lqJYO
eZ+PidvLPYjrJmkf4y7Rj0IXoEQXCpXMZDgG38JRKR/qJWsUe5p67ADlZpo2FsNuN6MwrGxLWnRf
7Ky3KGEqx3JZ3WVhy/NCmAt4PcXLBTJI6yvCjOO+MqciVuOkfD5DsdV5fIg3ZlvHfmZB0gJ7m3mx
ZubbsYiBEZRpBrUEYhcm14NqOaGRGuQUwCwUQpU+53qEA5MWS1urFr4YOJZBcy2qXa5U8nFRutCy
sdNXduimhS+zrMEUwsB+Y+G1ji3+kHjwxOZvo6lFn3VxzNb3e8RN7zVP9OBipJFQObqQCjfo9u03
ytXwKo3xIjOscNxZgszykoAal/BU0sJDVaQj/mJZ6ZP6gH62BP6ioKahGLPfNFWu7Mc4rryqaFRP
NFvqXTUxUN2hKcxHLIZ7N8eOG0RmEj0ocQfpPGwXvxUzItsWJuxfFvbTjigH4rGROm3TFZG1DxmI
3kSp4H2QTBB8VDXD29sKC4zcFXzw7DRLx41mZBw4MVLdADS+lEIeX0FX4f4JIOQTlPduw744/wrb
VPOnwNKvGR7aA4BT3K5zIh3f2gqnxUHHLS6zmsyvSzM8hrWwgpoka1dUnbhV0pm6RTVxJMruRhuX
xxEWXJ2BTgHvXKhjesKpSnWqtNK3pRRpX0hED1/jLMHbDBjJhVD6avxQ46OhZQxeHHPTOyDmBSDM
whQOAgRxN1i6aJN3U/NZiar2nvqsBvLJlApADShlOkHewtQoRPr9lghjVcr3i95SJT8YETTJe7ZL
KAmEcTUyzOf6ls6ddQzbanoYo4C69rRXGJzVEj3i6zq+il2nfsqaObwUKf5EKozuL6xW6ifWbFwQ
q7DbiYJlntk8Ko5YlCneeYWYQUfG+BBv5UUBEabhfThg2CE2HHTMXm6exLSvPJXQ42NLsP88Gopw
CBtxfJ0qobgWuOZtQLBSQSEp00GcpdBFBoiHg8B8si1VdfKsbDZf+raMzqhwer8U5vr6TrYeIMbW
cNXm6NqWVeWxK/suqhis2qUaTQ/UWUbXNNIoRib1uv8H8JpXj68loOFHdegLzn7ddBamInspWZ3t
tu4nGzBt6/bNKH5W23J6wDl2hk7S4S9WBeUmjYPk21yq2JCm6ixdcfkc7+pWCU5IM/HpnBaDUig4
QKFL+WJ2q/VEx9xy0hAMLEtyiwZV2gy1JX4pOKvdibVoPGZkfe7pV8In3EgnFyuj7mvWmKEPaQx3
OYqQHpveKK6ZyQ4JaJFU7IxmJNmJNyVWygDfbHBRmm/CHDpWkGxAHaFiR3eFejh+nCttr7FH2BYo
PG2wmPoOx7z6MZ6W1Mt0PXSHWMFaM1CSZmsMU9jQskmPxzWVXF1mzs8EIzo87Ipdi7PPpu+TAahH
sxi79h3dLRbgwHZDtdz1Zgq/kGrz0mmNJthZk9R8koWmcntVmA+1nkMAygJ8pzF1LcFHVvjmcf58
QGIqfe7igEL4RJ6XI9r4NQq4CCfAmxLK1mbwVYzxYI4mmtOo08hS1lieMIDtyynU8klSDQe1MoEg
qen4lNVYXJfUavnJHC7HuLO68zDxYNzmsV+Kg/KQh4LkWFnVXbFkkDe0X+3A56nOiZIV51GNMJ1t
4mCfqTGm4jHwY4ARYeJh+Nid+3Gpj1nS3Hgu02tVHnQzq4jGQNnz6rVJ0hV4pUSJ/J36x2i/GL3w
jE0ddG0cr2NaqNQOiypkOA105lGJpNCGgZvaVpldhlHP3pK+i52qbsqHcg7ExyVgfg2G5DKH7U6T
8jyxc/Ytd/Bm0xcF+10X9bXotVJp7DLox1scLayt1A0T9FxTPywCbp59HKr2OwVdkirtLgNKfpLw
5vOqWo42PW7xm8VQj9g0EkHDN9Wp1PYF7FeIaxIOMSJEHYABC84IgtBtY0OQ8T2spENDuM8xzNQ6
BUKc7AYRv3Ww1Dm9Yg6/4m+fnrFAIx44auUOn5bGVxog3e+U9ZT7870a1ORkDlL4ULVzeWYrEOwG
RbwKOPaCQgcoK+AamiuJuMEOhAEwKPomjlXZVYyldEE2NoxFVrmokDj3/QpqB179XcvZNK2rCpgV
hTgs67le+uFMmNkE++zPwFBEp63x7yJ21HuGNI07dlvYUJt4L5pRlzlyjR5mqCbEyEtWGdtsmeKr
Mgz1QSC+AbxKQtgOPPpgFi1n96STt7HcBrc41i2nE63Sxfwb61RJHnwZlgcUaCM+YyaWHiiA+5KZ
Yf0lEhtp25r96BVjpV3xGZxducYueqz6+QgYMN82IKI8vt+yt7RahPOUTfsmSFXGuiIOeMYXInhk
pRwx3V0GC+edYnwaYSOdY+ZzXy2XeR9KWrqDT9A/Dq0g3klzqF+oNhi/CkuOozCmFffhoA/eWGMe
PuiLO4dFTi13H25MXB1OSjp+rjD/c7R0Uqmfz/ASTS212jV9pvrSnENN6xANZY5iwbNapFh56Jt6
SmwYrtWhjNTa6XSQoPj572cYRk5EvuEuM+ROP6pSomx1uRl2mDd3BzT1Wl4XezYu8GUhn8qODIZP
cQZBY77CAe6gBqCf40qOyIIsRb3Rw4aQOqHM/IpOi0VJAF6Gyjcwm2MhI2MCrhN6Arulb3hLA5qw
giqBIN3hUcjULO+UhKIj28ggSmJKXUfHymqMlymm0o6CTJyA9dz8qrWWupEi83lu53G7dOVyXYa0
wro3js+S3n0V9V7ZKlbPDnrS+096HRa+2MjTm9gJzACqVvU212fZDYGePTii/HOYqtPjWOXtpynS
a6yi23B44XvIHssqwGRKnqcHPEBbf5Ly+qVf1PIQS8AHnMjI01e8YBWKzGA+2AJ2/Y8xpmOUWYjF
YydLAZIOkyUrMyAwYJtq4IUNSjVMtGGTp6N+GsxaXbf986aKhgIyeBUCcEsL2WvYQuBFMcpi5YCm
yHpYXrX0WYUtuJOWQfGroCsOiDuz4wAL7aBDxDrrixq8WCDnr+B7o++ZIMs7cjujawQQMGytrqCw
5b18tCBUj3AgA8A2MZuufS7KEEhww08xzMfrXuuL/mwuoohfr1x8K6KucY1KrL1aVNu7PGhUH/yz
BaqglqzjNIQlwnfMfo+pXPW4UZvjp6nOo+2ClfI3PRcSXwM89W3ocmhsKf73WCYOgAmlfna7qOt2
WIljSNszprSkj9/mQJAfMP14skCzC1WhnK3xgdrn+TZaMe6kU+JZcnOg5ywHfhB3HB5igq2LLnsh
JTtuKurADCyu7tuQtsrXcVR7A1vfqnyei4bZrBGwYQ60/tyEi3KXLhne4UMqbLUoyG9ygq0mHt7j
OZ5N/YoPYbrT6xa7+kJNWQnKxzozT2xw/CRLsOnu68W69LIcHJekzbeKoCsbRkcBVQWWQURkcS8n
Zf81g4a2mTqxfcQmMvRTK5f9eGYVsUMNnHAgzPkuI+w0u1OMolKaZs4DxaTBEg36+apGs7LB25MY
cp82fiWE4NKWeb7NRjZhl87IuxO6sX0rgdoclLhPtkMbjI+RpnhinHxe4WxRmnl6nzldJO7Xtbav
2k+zFdwFZnFXcl70lGC6D/p8cTU5v58LBaCjdZRn45aVsauZwT2mE6+6Idxk6GKJEZyzVNCdtJ5R
LZdE3FliR93XoDcxU9b66zTOPZ+uaJecKN1it5pQ7aop6w95QvIEBgHCFqvXzzUGnQDqlOBBiKR2
9b4uL9GQp/tKy4Higoq5i6fE3AxjsHo8t4IvpdAUTI4Tn1IdqV1nkvaexmkfBqJ5Dhp52fXGfEzg
zPWOkCvtGcckbR+I1niAOejhAFftYvwe2QpK4RsF+xojUtbYUSvRZwBOmS3iqVwtqxXwzDLNYq+z
XJzZ9ybXKCd4Eo1Hsem1cxenHemFupVFVzVa7YFtiym6XVHfj2Jq7VVsij0ABuE9/D7TmVtgdk4T
KOoBWxH5KuV6vYnMZRLdoZ0HJinK6z/FyahUoISy6bMRxHDXFRL8X7gF4WOpz+KdIqap4kZ1PEQe
Bh2tOwAl3ggzFs2asoQ31ZgMxH+NmmzEdYsX5K3a2K04+ASH82sWyW9JstZl6YUaXa1Y01+KjCxJ
mU/tARm85MeRUV2XKWkN39QWzL7DLGOnqc3W56WOcneEsAqrpSnqc7Mki9MqYvnZ6vJOdxIkgW9F
jUuxLbPi+vUoKhvURdkdKr7lcz4qbLN0hJkeux71EA61cKSsVXb7dgy3sQX4DSk89Tt9LERu1BoA
apcY0QlH/i1o+wZhmZEUfh8I0jGGOn2dtFQ4immQen0xSxvqfubcNXFLYxELZ2z0WWPSo9HqqhcM
CylDXK9FB/yiuTdSyTgmgSlxpG2KYwQDa3bEQAp3M86jD0AuILBGYaI7i65019bKGQvBEoSbqSlY
bCpTMDzCCeNFVEbdq5ooBjyUkv4hBMBnjAULrBYNIKGkIPTGMWhxSbaaEmxmmVQuMkr6/6hj7Gpm
eEQBUzQBkWYTyCyCSpjKSI1vESfAVXPQQydMejyCcpR1djVoy2s3MtSbWs7uolbvuHKN1X9qymOi
wKBQG1F4kDGr3xRx3H7VwwBiIvArXlvOn9lZmXtQP8EB3li4G6ZyuTWQ+3Zzr2KfkdWa3RCDO+n9
En0dK4zBbISROQmasCYcULZApNHPUtyQw+wUS+DZBJqaegvZ3LyRViQN3lbjLZayfBMZlnLrc9ny
ctWE/mx2aX7ghF/sahg8mxLScmJzUC5cJRoSnwNCu8vj+a0Wl5SpruVkpRUO51povphCPRRGMrhy
ICePkNbEO4gd4ttoNPK+SYzcg+0gEJ+owglDywYZNV7kntLl1QkXb3lnRXn+FkSdda2CkQlHNaUn
IYgCVE4AZRzg9jLm90Jpvc1dXJRen5dwEIUF+1uktQLjRO7vFqLPF1mATG6TYWqOCwSKOwCx00XX
4TntckHvvgiZKu6KbmFwVZypdnmdGvdJIOn3YT1Nt6Kp+62WaNKJAdEcGlPPjgSwV9JNTeKe7ZoT
jdLwGJKpZQcnLsc2yrvvYjlEz4Vaz4fSnAo/GSuRkxngKqPspR14lelsjkNJ5ifP7pq+yr9WUZ/v
yymGDJ5DpRDyIdjh8k6QChrUPlcVZQe0JN9mcxbe43RogMvpI2M7ylN/ykw2lLYKj+NVrsbab5vB
QHY2rNA/pVskYGY1kZaFDmk5OsAqX8aq7khBe/Es6EV+E7O2eUhlrb0PstLy5FiRtkY3JydtUpXT
JBjDjQKk8WluRfkqRtSGqRhmXQWzUQ69nFZEispJoNpesZ7ga4GgEWdH76G3zGZo7vo8yU6UlPdb
RR/EfRanKnesHEi3icF9EAccqxUhAgEc48zfwIWAezl2HcdNIFalAEMEyhcXMpXDxgjkEiN9SxS+
aXjpHIXVpRSwVvEpjup6s8hUSUpBI31v+3C4L4CIbTFEljawEjj4BXpylBnTMNPg79QOXN6WDdOS
gWJO1TtinYZrzjBrxKJq/D4xNlpN9KP7FAeCddPHWr/XtTF44GAq+vNUxjCC0f1nBLS9Xo7rG8wP
ABDhMGL0HuR+gcHnWQ/7t4Ro063GWxRII8zKU7YKYpchkp6azpBZ/3KsYoq08yZTxDVaxgJf73Ax
pwpoSZ0AIQDQQ8PwE9iZ8N2DJj8oCYe/aEqTpyDAPUxhSt+B5RGpzIJEZ02mQYRqvM1dKDodZg+8
yzQVdqb0+aHkQHwXjBQ09DELYL7GB/tSkS+tHkqfTaUdLtGoZE94x39SZzOTt1h7mBcihbGypXx0
1mwO0c0uDJsYsqRGwE+CIZ368PUIdbEnYn9EyQbeSuhQ5OLIpnnaCirbU02QGmOrZOkMg8Ss+qdW
FUOADNiFDcwrCOT9qpaUuwDXYHrRhLp9w26VXTK5B0KBYi5/Mcww0H0I37OEOUFPFZNaUr9lEa4S
6dremHel/tSnAUgMJR8huw0rRNltI4lX0M+I1hUrQjCRiMmRAokPrLTTg9nB3nXJMMPDaMQmuhoS
QbNCH3iHMGwn+WR2KuQ4cNTlsG2XIlY4EDSR4jYwJ8kZT9NXbPAJLODUWZ/ZMggHVW3ixWFbS7Sv
WZl0hckCAGq3n76ShDXPTaDzcebY1Tcl4thNTDNazC35s5jmb2Jwh3rcg6JnLWU/msUilrHLtGyV
cSEQEGqTQsRqKPbhSjFiTI2vAA8Le91aMN+bMWbuZT8W+yHQOcCnEqAYe0T97gi9ZJ7eQ5kDmwB3
bAOTkK1kba1UtlAOsiPyOMcVLjC36JGhxFcETbHHpXPyjLyP79mCED+Ru9FVhhbOYdpbd2FkBHvm
3f6+BYnpCdrkzLVZnQ2jlLxSE7KHAhLOKeyVC45pVzT4tbNy2CLOnkQ3xJJSPCTI7M2KKD0mnRIe
W1EtDnogPOetxUlRkDh+2uHK76FEBnAS1kZfGyQckDN14aq1COdjXX8yo2Oh6p9M6j1sNsnFaww1
byPISe/1FBltixkZd2AO2mNL4RmCyMDIfRT3gW9URciJvpKcyQxuvcIBPVRYMIHokY3ARHhrNmyg
ptnIn4d2yI55PRiu3Czo3UcrvIhwsP05zFPOMzJEpcay3DgMxn2VDPjSYfOiuhqbvr2RzcmL0RCK
btiovUhaMz0BS44/L1Pe7QphiB5Lwl2B188oMOw+KaPCmXSK3sloRfLIborYWqdU5Tmkz50woY+v
gW7lJ6af9Gz1rPv2Emhx5NddFdwErA3vmrBtN3miAJUuxJL1oSsZONMcfm9MfJGcAbj2PTDUY8hG
T78sFURFj+hZyZmnbbTpH95Ov2ZDf5fj+2fC9f+1vCwhazLh/3Za9r9nL2H50v6Ylv3HS37Nyira
LxIFRGt9Nn7jWMxQAPBrVlYxf5EVsrV8ApawOt5r/0zLCuRySeFiQ4qtBgYhaHh+yMuKv6j4Jqym
WhLFX4gF/1152fdai9/SsmR2KZd513vg56vhSfJBe9GEArT0MCRiLY3qJigFY7x1UglUnoCu/DSp
C8flbjAnljtzSSWbwCV1tcrcy8GG+UyHXDwTLwRa0TDf2QbeH6JtlnL3OqdtdtOZsTMSBmb8DLxc
FHwBH/Yb6aPpPoRom8HCSgDi5FWVHqDq4VeoZGVUAvyJVcNjq5xx3AI4BiFTD8sHJe/U+37uDXBo
kCFRINQD2QErlyrDLyJRHH1Q5xR3yKrA5EjAcIkBxxq9gwiKD0sN6/M8IBLyQh2U9AP2dvm9kQSw
cEchCQ/dAAOBqSobrtQYETRldWBvCwKlKc5MLQSeiZUab3VUT4KrSVZ+xMSOUEbKsP5SgbdJt2I1
B1Cr05Iggty02EAUFNSfhmUaX1lGo5Bd71wXntwkZeOzhbFuEV4lK0cYQ3PMbmLyqhBSCJ9Vva7G
blEN6eNUtWa2XXp1lP0xGJEWV3ma2YYYkdRMKTHEamWQyYVbY/YFulXHeRNKPTUaIRs7W+kLpXCj
CsycSxglJY9ghs+IipTBTcdJZf+dltGxF2LCUNDSyE3W8IRuWqfmsVdoLG922Q0D+lO5qt96c0pH
5HkqFfhjXkahD2oqbD8tkopqaNTF5NRwUk5sokx978K7JwoDYiL7CmY7+1LKYXULsYF4ySHVm/aA
fdulprQLN5xyvYJIKitlG3BuPdfU3QruxDuongEwzzr1FDZIgG418U2hjuwtsiZS1GbdJOTi2l7z
a+LUjQOZNE1PoyS2mg+hkHftszbt4QMD1LZngvpsYAAs7nMjiXKPDZGROBWZyxs+qzEKNm0cn0xr
XOYdsdEavrkZkjBHpiWnNi4LbE1zHbN724jMYtlP4zLU24wimQX/fVV4zAypb5wW953aiTHiAbM1
NvF1Ie3lLSEca7vQa+k7Zy4dKZ5llPJBbqSJaC6oDixkce176HDVgR8VNxhrwlZVvylKzU6aQn+W
Q5HRADqaeFS2RVDcsX8MBBIclVDWvZP1Qio5I5kiAFxa31rbWGpybUMY16SopdbSx45qysIJYrMC
cKkJULR+mA1/XSJ+lH38XvOxTi6/96f4IAb8r/WnWDVMPwhM/lP+FP9/VfxBeYTmcq39/beXxbvX
pnjJv/bfyh9Xxl9f9uvSKFu/UOWqSqiS6CUU2vKOvy6NqvTLWuO7KqixQEK09NvSKP6CtazCAkhV
EUZF/Pjbymj9gnJQfxdpAi9Bq6z/e1bGd7HlbwsjCmRK6nAAQcJHHZCOAd7vu9MSNnBwI+l68J8v
oWfvNvbOv/g72/dP/j3/7OwNP9me54W2s9/u37aVM9pv7na7pQbjevtJ8fWH6os/Xg/368furYoD
pyGux31yH/yN7Tne9ifSxXd3sz/7yh9GUFoKE8cXPuK0PdlPvusPtr2zv2x8+972bZvPdLeO6x4c
9+BfHds7uD+5gveanD+7gg/6+TxpOFcm0vXkX553/oPP/XVenO3euf3kkxC3cb/+5KM+1iS3cgXT
lS97ooUPfLu1Xdf/8efl2T9t3cvJ3p2eT/7z6VLbrn86PT9zRfZxs7Pvd/eb3Waz8Tabo332ts7e
OWzpCV+OR2fr2PbRds5brtrdcsO2rnM9OLZjb7391TkcXIfusv1hfP0vJtqf9Y6PJbVd22RyR+/w
3evT10toX2zvy5miqp/dtnel85/dtg/7xXQwjAHp7PXgnlzXPV0YEidGxXuHtP3avtBmXxkVNjfs
tD7CExkw/r3NX+14cO1H9CeGk322eYif1s68223O/Lm9cS/dvXM9cd8Ybyd/bX3Xdc6O7+88nsjv
+73jrH3QP9FHLv56QyN7S4vxGtrLd2mRA0/k7j+dLmsjXFxe8+e3/Kcd6EMhG8EMNsvcCT6S78jV
2ZuTu3u/FTZfgaviX+cnDaB8KP/6wzzw0fFkMQihj2tLP3E7T7ets94EfnAvrnPY7U50umc67o7/
XIbwbuN5tc2P/pZbenK3/rPtu0/+xvef3d3lQnMwp13uQ9t+ZIbzuYu0k7dnQDzZ987efu9Nu83u
srt/3YX26/36pl8fLs+x/bDYX0N7R3fb3d9f7vn19ZWZ0rcZBOcbg5Y/r9ubd9u+0bDb7c1+uN/t
JtsO7Q2j5vF4Pj+e91vv026//X67Ot7GuTruyfG8m2u/HNcWpJ/dGC22t98fmQT2W263y7zzPhHx
zd+YkE4uo2u7dfh6O3rMwdl6Z3rC+xM/3/jrdXze3MP16cl1b873n/SDtZjiz0bEBwV2W7f4mqwN
whTyxI2gIzhHh47qbA9cq+P8bCV4L3/5s0/8sDRxMFOSfP3Ey47u77xtd7FNg64dnRF34UsyrviV
4cL/2Xtafv3VvfgP7sPu/uQ+lTT6xn46fF3HDxd82dibh7thneEZpvd0GufmMcq8yvbOL4m9p5/t
XVe23Ssz4bNlf/LO67h27a3rsRTY+3U2+MkI+1BZ88eu/mHJC6SuTha+58l9ftitQ//2502H5fBP
2u7Dise6LwkSn3Cg41yYcNZ14LDeO77lOgHRtehI9C9GDh3twK2iezNt8Sv3g8e29MmT6+35kWf7
O27/lkdZP/iZkeAwplzWa96St1+f4pe8fvdA4zFZMPbeJ8T1E3e+88xTuATboRXWp/OLZ6/Dacvn
8lze8W5z4e0ZArwVQ3m389bZ9nR6clmvdg82N4rXsBitPZCZk4vj9bzf+mbOkR+YIk5cEUORXQ3t
+tnbr0/19jva//w+a/Gtt5uSL0/T2r63pT+v8/w6h3NtG15577zwrgw6Z39eh/Z6m7hR66vpGDkz
Ds3l8Nd/3mRrk//W9dcTxe+sIz9WNv1fsY40Psz0yX+JdaT64VP+c9aRv+/47/dR+sE68uN+4T/o
5/jH89/vXCM/Fvb8nzao/NE68sO+5D9oHUlA7A8dEFsnuAyrPRfIvY/1Nku2FlKosH9ldKChK0cQ
c6n2Xjjum2HxWYhL3FMiDK4EHz+j4dTJgwxdE2g4nhldNn82gcgRM0kpD8TxpNde8HOZJI8YN7pW
DEN0ILDkLjqvMiI9tENTqKfNROwIhRiStM6GOZzk12hS5YIAzBxIDpBdKFlI3svazSwsQLFGTvvJ
aU2TFEgvIb0hEZ5qb0s59oWXY5W/nQk0jF6jp5DX+qBGz2tlcvt5xBg22ssyQkYQ6ygFUYuN30uz
sBqHRHI028WSd4rdTSgvCJl1aOllqkaRi4htQQS9nz4rrZKXp0hYZtKX0aiBtNdHwkeKFqFcaM14
VO1OlYEdmDr5GVvXtTlyVauoG2BpmghnN15QzsbKnH8CzWsEaEQJsThUKiDLBsARI9kRmqzxZKG2
ngay6l/KxugGFzNAoiNBrKSxQ1qysjwxstQTcvNRdoj61ZLdRYqECXJqRpFLPsv6vog98bGyKkmF
F5IJX2eeoH1vIdHlIuUOS44QPsJkiuKnedB8Y40zYTIsCXZTivqbrlfSW57UmmSzOZ6tE0JeU/UI
kMaCK6wRrC6VamVLLoMQVPUe5OrXeFf2HvpS01x9KdZ4WGvI2RdjjZE1hWbOrtGYQ++CCF/DaGtE
bX4PrpGoItA2vAfdkJoQgOveg3HJpNVvxXuILumsEatWWS1ib6WC35r3gF73Htwr1jgflR+E/KL3
8F8j19FzusYEpaLMR3cpU5Uir/ewYUz/FTys7AknKmtksX8PMibv8UZTJPQY1msYUqlUC8FVhj9G
TQ4XvbtiZdt8DVxak6zFLvKLhoRaaRLbxP4BvWX8HvOkqaxbjgSo8WeTGJnX1HEcOuMaLFUV3Tzl
SUimcCb/Nttpikexk5FlTrdtlE5fkEB1kk2UIT9icjgTkdVq4019j9PSFbrirGpwlHdpOyLSgsI+
XGcsaL9l0tihhVnisYMpSQhY0NZo8PQeGSYfKHyaZhN1Abnr2m0WU7gCKS0KT1DUfp9qRV74eCFQ
fWxpHcV2NaNoJrdaJ5/LuLZMV2lnmbEoQi5ycIAPToqcA/zJ0JgQYgShjMO4AP7HjlS1NL2mMblb
Upe0V50qqh6Hs764imaMIZIuFUO0bVqjbY690mm5l2AdI7rBJCmR33QKzpNDV1kiQACjnZxFtqpb
YObWYyLG8jcJnvHitqJW39oCbue5GccUo+56LJCXyJOMsCQodK9Orb7xIfVmdwu8S9EWlSKtt8CR
5Oca4WnqYoY6ReepWIpjQ/KVcT/0Irl6AZdeq+0TxAt6rn3qxqi2cDvO+gF+i1F8anH8U9y0Vud4
WyfUFNmxWTSZW/ZxjpcPcwpYFSXNzvhqN6NbTRFqHIq14s4ZjUwGRjHVsUW2vsGRVRzrLyCa0dOt
+OTIC8N51OyxKMPUEWYz+gq3jQquSm363C2jOHjoy0y12zynJZZqoaIgkKqFvzFHPXJDBdSOvWDa
NTuMqLD1dXKI+4iGf5PRhB7QEJLhUMVlevgf7J3ZkpxImoWfiDZwwMEvByIiVymVi1Ip3WBanX3f
32aeZV5sPqJqrJShbKVprrutrbutq0oE4Pjy/985p65N+W3uBiTmVqT6C73gU0cDP9EParRpb1Rm
89h6sOGYDi7Gt0aCvhoZkh3MoE373mlygI+SOvTXJme0gjtr4z1pbMnnOCvjeO+2mXiTZy3t3s6K
SGCPRjzLqPUm1Xtv9mPCU3yHujbd/uSyT9LhY8Q8JZBNTMVj3NrTQ18MQFrz2td3sVfat1OeNkUg
ndwR+yaN4rfjOBhrCNmSusFctH57kHlMHFSzQlTQ5h7bPQ9Aka2HOUYcjo2K3tMOj3CjSDP/u5O7
xX2dSBiRvItcUDcz0tlZ0tTTeYusYDhnjmXRgvWJ3gKdCXzty24IfSjI80o7ygimga/8ItOZ+96A
t3UPPe5xhzSunfLSEyb9nxGt64dS84x47s3wVqeVbC4iaNUHvywBE2OSUehzFDKlnaxqpCloVnxz
L2rDcWGR6qsls5unLkbEw5oxVy6ze0dB300zRHFO3o1pqP0mutrErs2lMaJ3YEUzZ5o7qeFcuLZu
7J0txIpIX4Isn61qnLOwMGUV7wyfGJiDRHT+iNuuR9WPnKTobUbOzVVNq8UMkmZoox05McNnLGqd
J1pAmzirdlP8kITMPk8taH6AWgJBkclPoz1QxGfrWLl009am+2Ykaw7t0s7RtBvTcmCiyWoAr7Eu
+jVUztaBMIeB+5s6XCyCpod13TWGp78y8bjiAj+/ZV8MdYUWj7YYpFuqjC96JCOYnnFtWqEeu/zO
ca3VDjIwOhpWS+7gFVsw04QmAiD0UE45VDsAcytjqkij7ICP8HBnxIo1ejKMIsZBYJXqzLLoy+Dm
XtMrjHXW6gMd7Ry2ITGYFgzJLezWTsQPHh5ryKSqTv0wlDMP1/xR8UPqR7MIvd6Ai0tVEt+0BIbD
oKgWiKhcRNWf4T0T57u1oNMO96Iq3vmK9IXHMmIXTlXYFIE3bWqeZSxKyQffSXHeuaLr7nTZ+jdW
TyhgkOY6v56VVSFdMazxfpnTHrCqqq33EPTSOkxTWs+ksn9QFbhoYJQ2N4mpcfbVq5Gk78D54veL
Tor31bjCLju1fZvYa33GgB3PVLwYPnGKMetDttrfa7G98t5sxK1vUGoOcss25lCLKLkvuxFOalSJ
pNlXMlRq+jD5brHi6BNS2XE9yNZIL71lGfuwr8o+B/IbJkmrVFoqTO2mdwl9sdH7lGndZ3TxTL9G
ELuwU1riQruBn3ntU+tlrJlram/aFj4+K8Sg0X074IQ679eOkRew+7A/RkvdvJWDG93MS8Wo64rt
3ZuCxiXygO9V7U8PMEWlH9YA5yY5ciWx55pRf536bf7JGczs2wC/r3eGjKp3qJ0WGcgmavlCTNUt
rOlD8oe2iISDPPcDPznA///8wH85xmwX+ckP/LTe8oIfuD1YK86jbcJifTzh/qeD9FMHadO7U0b7
9x2k/yo+1//z3z93j/7+R/7uHjnqX/6W445DBfshAAmOe393j1zk7kebDpAKE8talx7C33p3519Y
5vBv9OfEWZJLyov+R+8uOM956N0dzhuCf/1J92gbdv+UKVx+GB4T7IGQruGyCqnKX/+pF2kbaA8F
HaSg10M/ncWpQgpS8tOqvSPbEWljWVoLKCF8E3q0SYx/jaJnpgk/d15PzKu2X0B2Ml0ynPo5jiIv
f/4LasOLhqx3NpkKS1pAa3qKzpesJQXSL6Kn2GU63iVOYT25aZUQ/m10ZPyxbibs9u2JbHXU1wg7
aCKXFymIRhc6pJ99+emtvtC3eF6GOP5KmvzHrBPXx1To5FeaSZm1RO3MQWOY5V1P5spDk8j07PdX
gZh59j4k/wd/ukJjCgllkbpzUqPViQZp0PDHuiNfIvCsrsQNrvPk17SHDe/EzK7FgSDmoBz59T0Q
xXzTc7B98P0ua0IkSREQflPpZW90hmwCo5VVe1Nni8KNMkOJedAz1qqQrf5kvYtIN3HeJPBp4t6p
EMHtEYotKuBvT4cLbVX2ujcJI2kuZTqa66PTpqs44OJZfYAZKu1w0Rm7aCeLycvpWtQGGh4oYwo1
2TNXZt3K28mKRxX6qdGUVzMZ3HCYSYa4wulYxw9IoYAtzTnLUe+4dt3uplaAKTp2yV+tZFdMN0uK
7jaUGrb+3Whuu3F87LwuDnqkEzGZQRgtdpedDxr4WCLTA5mVa9aHABnRuXRGJT7gntpAvIm0n3ey
zKLkfK3IM36qB6NeL3S25XnlDbLZMOlYpAMqCQknINyiqzOD43MbJhWr4UXnDIYfTlafvWHAwib7
tY83UTt5uPV1vTm1O6U78cRpsIaVxz5dB6lnw1rmPpWMnTv5OFKvBbF/aa6IkE+mZRFvtIsKad91
xSoIjdpUAbE20Axnogg9lfUQMav2/T2y8o5PM+0bdt3uNPfB3Cpz5NQ6Wt1BoKNuH0uQR3VhTKkg
EidrkjbET9+sHzWes0hp543zTPvWeZB9mzt75LGGOvfW0ZQXubH67sUUFTP1h0HWy6diLfvigdEP
/lj6vv++bm1RXXTRgubQy0p72NvCb765QIKXRWbFFFE0COqZ748YGWbKUs2bxADehmCPBwfiasZo
3SxHAyUj9avkHRZhGEt1cku1FKkFC5J55UBgsYWDV0CGwuQyelL7QRCJFe/RZ5jNzsRcwH/EKt0p
HqPJKL7psk79oHHyMQudESW9TLolCu3IMuxwmGBhri2Oksuuw1L6LrKq+CmFBPhqFo3ZXsxxzQZQ
ltN8btprbLyFxZagoEPcPPkWwDVZFGP2sStQ9uRLlX7DG6Qvzutqtm/raZK3HKrgRfFYbj9q32rn
UFidvDS18uZ7OvcLn0SXRfXZoDJlnrGvRgOClQg2ZTaCEPd87eCjoEW74rGyvPYHTLBxgbjStHYR
ByIziOveGKigOboJus6okgOBK8ZbLNZixHvuTH3O0gbfeMqCFNS9aJw92qnpPE17glIR7GUH6VOZ
OThmqc/6XhccP5esNsN6XqZkZ8ZCrSGy2mrXCkcMZxN389HO3TkPm2hZO4jVkRfI9rtO0YSugg+s
nQYEGslIXc3BBirfd3Wk8NhJ5mncJYvRocoyB05IaVp6xN62FCGmAnXkzjRc9OHWdqlwqAQMbWnh
yRC2ViWNnT0LhiAFmviOGD/xobOrcgzEorr3Turp966eox+x8NWt1fYFxYSkZSOq7N5+j9L7KZci
+ZKZLYqpJJdlgO3/QuCCQXIpbgGdRXJpFMnp3Kvn5C0+M6m3M9d4nc4iGwwr8AeQYD7ypm2wB0OM
e8Bryv2SFKuDR0s6pA9WZHvGWd6vmLTYfbmK/WBPuQub78Is9XmnkfkNFq4UmPfF1p5kJe+Rmp2a
zrykaK8SF1OKQE3aLkMWMOKOXaeOkdkvSfUVx5T+mx7QjAcGBP4lOpr1izGuyUffyBPER/aovqpx
mr4mMr+NxAQ63I0ux1wcNcR1S0jmbiWk+t2i6uZDZZpfRKMTzBlZcj6K/Gsd6elurLP4q9c23sVk
VIjRrd6+U+7af1taTuhBA3ycBPC7xqNY8vZjNvaxCu1CEfWZLAiop2LTYOqVg7CoGv1p8Na5C7Jo
6Kk1oN/5Ui5xzikr1cvnuOiu5VxO2UG30rrHhyb+0qtWs4ynyXv4SXg2PxmiGMMbUT3ViYDzxAii
wdfGpHAQd3YuPi2yQmCW5GhYz4lcisH3+yH7jtymwO8WYBIj3wyJahChuy12dawmjwlIUyhKkoqK
hoE6MbATu7zPWpRUhzZqqiddClnvcio4j+W44jo3YPAlqYd2VscI1s7NpOz6G0UmpD9zl5bfiEvS
cSjrDHc6C8d4hFp+B4yJ8ny5qeJxoPacC21ekp7n381pipHJYMzqJqNQA/Dp1VTlvZFXjSDQgyxd
Xai/NzaJnHgraS0DZY981BxYYzustei2eBh/oCq5xu33oTBh7NyqSp96B/VTkBlN+rZMk/TdYKbK
3mO00Ku9Vuv4QYLnM4X6A4pmxKmOsSvSWN9GMZKzEHpvtHbLuAkoMg9zgsDvPbaCVT6nt4u9dlQz
cZj7yKDCYeI/h4f2xCxLQNX+9vDw7nP7/Ozw9z/xf2cH+S/AaoFJoYvDJEFt/0DZm4sWm0T2ozbM
FwcI9u1/nx3Ev0i54UBh0vlhy4pD3z9nBw4jm38W5lsu/705bP2BVdbzLTFb1S2UTMCbkTwFHn66
VR3XVTG1l5gJC2PcocgZQwRIrznT/7Ih3q5iQ7hhha847Jy01quIBcW3cTmIylSh/DGQJZZz/knj
G7BLMmW8ktPz6125Jmj8llbCWorB7fPjSG4h7EPc1GKZpZwDgvb5EOej9cqp56WrkIcHcL959/7V
vPvp2GUNfpK2Jmqd1InFBzNpiou+nl8zef312bkY7hFtxhmPY8VpCHTb5Gbce4q4IWyyvBD6eCOw
W9fFMkctOOhazRQ//P4Ic1KCYFSQJbjFu5Jow7A1T5rDqrSbuhgX1MRNKS5No3Gp0GQp6aS+3P3x
pSTviHw8nNo2oPL5qxJ1YVYFgngmrLGmGluuhzoZanZARf6K4+ULT5JWNF8UcajAnqejwq0ltHVZ
IPVOuvRiSFJ5Lt20v3YqW91MbeWd//7WXhgfz6538hQXMO5KjlwPmfFanxdWVBt78Ovkleu88Lao
IVhb2iS390tcTVT4KxsOtwlUToZGmHI0wJgB2P6TjTL7lYu99BBdT/oKNQh+i6exPKpppd+laJdx
g8l2w9iKt7GUuOQ59BDl7Dt/rTH/trTw4s351GM2YcsmXXk+PkZniHwslRuOh2xbXZWKPV1CL9Do
o/78e8bthzhSvmZcgI+46E/fM8EqxjzRPA0swk+otkXuAXdF/cqAP2npb9/Ws6ucFAdGmkKoNLgh
d8UiIfbwiMGJleK+7VxPTtY8tv7w9PuB+NIz/PnGtnf6041Zhou6fjYb4mrNfNeLXL7tqAAEqtDt
w+8v9dKYJ21d+pIq5pa5+vxSSO/iFtckmpmJGt5leC2Ehl/aN/+PqzDY+ZhJ+SGe8/lVIjdyMDjy
Gooq2ELZcyUPyVjJVwo5Lw11GqBbZY/Vllrd86u0SD7bpDlWX9A1hTRNs8tcFtGPou7iB8V81b/y
cb34orbqkaX4ExmJz6+YorxrE2k3AAuePMvH4SMZeOz7hbf/8wdINo2J+a/cQrxPRoQkxlVPdK+D
ODI8znKdj9kfG9rfX+UEqdt2FyBtCsdksqBZSOwTZ+jY4DyQuyWqEZtWWFdiVOuucQolUOuzcsLN
rJbuWRRlGW5J/WQQNFwOwWo68SuzyK/DkkR0RxLhiRR4+wSfP1iVFADtI6uMRWdD3pYdjpMXMSrn
7pU3aG2T+j+12L9u2WbDh+eO7+LLu/2Sn761udN+bM1VS25XnF1ivzQemqa2H6qxfaOlgflUV1f7
NkNSaXP9cOboH/IOerb7F8NiNK9shX6dbkjcsvgi6Uk5m5f6898zLeyPjHHGa8L0Kd9MWhUyQIxL
k3wyNdo6ztzyrhs4f7/y9l+8sgAG8tng8txPXj6KJ7XqhlkHfnjcDRonqqmJjLOCYtqiPtLxana/
H2+/vmXu9acrnnywi7DhhCzWptmufOiPNAtXlGh/PJa4Ci+YB7cZ/Z9OC743lTY7yoaatd+Ghpqd
cHToM/7+Xn6dfLgK7tGmjyyT0MuTqaCkTpl1HrhUppW8q/yl2dtZhzpxyNMvfdKuh99f76W3xZDd
zhy457LYPh8nUVatSe6yLMl0curd2GCpiZcoJnZ+0b0R46L63azZBb5yn69d139+XYkL4+b72UCr
lO1VOlXVBUYX65t0MNqrAVVkaGap9cr099LD3XabJu7cuFKc2saTfYuCG+ObLSrSfaIkNw971Ozp
2VQqsw7i0ug//P7x/jqzU5extmYAWaquOo3AHGw9lW5H1Q/DrxJqCfgM9eVIy3f+820nW2l2MBCD
pkk2/ckTzZx1xZ4MM64FCmlvZutwmHv3tc30C98ajnDsStgICvOXKNZJC9nNkvnDTHKgQBv+TYYR
6vblz9/VswudTN3l0lUVviVU0RDvn+HAQT069W7NJnODvDVf+Qy2h/N8+t7O1Z65jQ4iIE/TO/iO
kzyOVwr9o9ldxr5RnFVlYV5WhevDSMrxYQZFyPDVmvD4+v0YeeFTUJz4McL30GOzlDz/FLxsRvLc
s/qvBkYgePeIG8sUQ0hfv7moWknFv44j95Xn+8LIxP2fgzI7bMTDdCKfLVicSfBSsib2o1aEdxUg
XVBbWCsn5mi8MnO+dIPHszI2rqQKuidrkV93S+fomnZWXI1XZKIPODH37mVCSxMwzAOSy+H5Xnms
L7xSShzUHdiIbGnGJwOojRux9sCYFDSloMyXJP5uSqoOg1d7eDs7GGCUvupCrLiSVy79y0eyLbrs
43DKFywZp5+iG01l3TTMKDoFrRJmaR+oxYyv5DT/8ga5imtSHeBTZLt1Ore00WzjvMiYXUF2sZ4Y
sG7miJuf27VX/uXD8G+PYy/dEbML208CSLjgyc47czaOssa4JVPlXAcNgNenEUfL13JtX7wnLIt4
ZVQGNj/4Z6OS7AcIEHOAR7OIXu/qxbky86G4aIBlX/nkX7oUklBiDUhHZ6E9uVQ/RWVVFQWXasCD
KXsYu3pdPtILWs5//4G/9PDYC/EJkNuC4nT7Pn7aGzZQRcksanhIx0z2rcFeN4Zf3P/xVbZlhs+L
h0ei8LZD/ekqnfZiBdXKFOauWHaQoxg0VfFaMNgLT40N9VbP4xo+Mb3Pr0KbqhYp6vpgcgEMINHE
vpr99DZq9Prx9zf04qW26QL8BpnsaVCJJ4omNjQYqdMM0aHPiJ/ICHGmOadeETu98IKQ+/5zpW3f
8NOjKyvy2tclxbRejo8+nfF9KaL6lfG2/SHPlhjFpoOVheMB867tnDw5q8dcE5wbu0RZmdcNEPl9
YU9Y/GrsdoNqwj7/98/P2v7EX65okaWMBtpyCYx6fltrg4n61HBFRyseYGMRFVSWWEapEZeK2I3i
8xIb0P2SuOqshB/7YSzGJWZt9SG2p+zu9z/npYfMi5SUwqnPitNfo8u8GPyIkeMp/K2M2kj3lAi+
//lFPOIn6Aly+qSJ+vyWZTOtSVcDx85JK2jRTKns4ZJVLV9Z0156m1tKFZM8hBDuJs8vRHhyaRJa
AF+b4kSfxrYMzAl3S3c8L8EkX7naS88O6ywGj7cRYqdbBHzW5VyMeOx4vRtdZePSXNTMors/f3j0
lxWqE9YtsjSe35OH5a2NMVEd4IfaXlcDdhWzayevlGNfuBceG4coZkRe1OmTI6rcyMAvt32qF7/N
J+WEVuLGf1oqAs6ggUItauunUEh8fi8+vd3e2MZ+ltjFm2KZxa6OSv+VOffXSsd2GfArlyg20lWO
ZYGfZo5CrpVrFh7GNkOUXMOGE/3W5JfVpkeR5oiXn3tXG2ZEyrEXXVHvvpSqrl9ZX7Z7OfnO+b6x
8KEm5lLZOVmc18bEfl7nbATkKBD5zHFXvnNm1xyv3WGa7HCeVJ5ctKA0r5VpX/gMOA0Q7SJsFmv/
KPb/6f5pPrvmQF85WPCMysLYlMtuqpNr29FOOHQR//nHY5TFh9nDxxF4y797/l4H4c3FajKLOHGc
BFNntwevwLv691f5demxeKVUyBhBxFSdHgeoOeu5xZQskDEykdz3qoulBPt1IhW/MoR+fYJcyrfZ
JnL+AD3ffspPT5C5EntakD2ccVykPEuVY3EIz2C9V53tfosBLqJX7m4bD8/HC0YFZORIBGa0KE8j
zOOscWfd2FWAs7GBJKpxHxtM+r80g5fvLKsUXyiDzFd1bFfnRSu6T79/uL8OV4J72BhIKu4Ko/2T
ORoKx4TJwSyNTAZNdLr3LW+9T8hdZNAoiLnBeW1X+euUs12RQyvdNKqsp+f+bkrSROD/DUWALZrd
DMM5n0r5ypt8YdCgItiCudABbPXV52+yXWuQKnwLyOaLmoOLg08fqsiKH6qutV8L1MXC+OQtUlzb
wgtpE7PhcVzz5DFao6W6zl6gYQonN84HpuvvmDAbZYgfXHePf6ayglmB3eyX2V9q/KBFbZ+xvW/Q
mrg+Mr7VUMilHL6fIoiNVFzT+zPGkB2sq4Oy7KrxQhFVk51NCCPaywlSIjn4yI4qcni6GnvHNIvs
Swb1oi+jifSxizXDVGnn9ZaOz/VApsj51kwazrpGDeW7GFlEfYEX2BbXk+GHFPpW3Pq7uYmsjzWL
Txa2uVZ+2GG0kwSVN4p1j0+03d+5ZP4gyPM73d12ZmHlO7/S2vLpCKVzdOVPUYX9ZJHNy1lc56kR
sgJk34oSJ8tQTB57HRPXkfXSmXrpsaUcAR0b3mYUcjp2x53XZTiazwgHd04qkn4PCAerKDHsdECo
0NLswO6TZG/5VYuApRyJAMk7ZJbIBlytcbmd0zJs0XPggjwM7AFM0zPLS0Pmq8NPMGIQ3aSf5U5N
KOvDSsvsewQy/3FeC4i5oWYnt3PiAoap84t+IgtlnYoz2mNY7y4b8RjMU5XIYCaFawyNmELGYaQw
WAYawl9fDt7suexhJ3sIzWmNcK0no3EMtLkaVZjrVvsHv60LGL1plXIv86bHcFDaJYdUvn3cckGF
/UAUBbY0ZrD6drviq8vjDFYrRuTjFHqrnrkLKWx4uvn4RLqR7sK8nRMviGQ0dm/jokV3l5ddB1/Z
VWyImlw2D7MqBxw3ATOLwCKiagpErBFTcoBOLoaJlJ7rsqG0tOvKASqnLRf8qhQg54ekMcc3xeT0
yEnSfF0OSQXFFiR5GX3uVeGBqlYJQqxU2NgAx5PpXKZpVP7wmqV9v2T5+CNeTTkHi0fMEfmZpVeG
Raa8fTY0VrPv+7b7SnAnqQWUZfNP6EQ5uVelUG9xoiPDI/dj+2xp7bUgf6Evciy7hiZDX+jRkY9d
v7xcxWrpcI28+OPAXkHvxmHyvix+mj9NvXKvSz/CyLgmCA6RKu8QbVo/cwTIDB005Fi+c6iwbskc
EWbDePWmj1mlsDLL3Vp9yhvQprBM8A/ju5LyxoZIJaZB9uktEPoynCFsJf21z4HIDrXyu3JfrWMr
AzeSGVlMBFh2IZxW/HkmquCHCyxqofdy5utoHFZcdeM59ULMlxHwTPZUZAfXambiRHqUqVkvZzNE
D1Se4TFbxvejhTVzQBi1SHazleMmTK/W/pFgiw/haCcYiG7GYDHYHogtHa2huyMYx+RrtgxxK8lD
+5DYo50FA9lwCwPLKup9oxtR79wqqbOdmeKRjwx5zm9m5HDt9Qa6vyt7X9b7xDRyLzBSw3oz26X5
PVt9IhcaTJrbJ0n3ev7MTtwtruIo7fVhLkQyXaLyaeprw81UfieyJG+urbRyo3cN8WfLtTb7+ml1
8H5/1KVqoq8jqmHzXjRlMR54Q75323hMnedOVGdEoJnlJNHFYdYfeHwnLvpLGa1X5SjEvGsy0gku
20q50w7zqAULUZI02FHnGea5Fyw6wLWtuWp5yBqyp85QmkbfUzuaTJQ1fRztTNz4i4OXq6ELO9El
dIo0bnRfBqu0iHBifTT0eWRhUXfrowtwLo2U3TreuuS+7kliK9cLBVRYv4s9Oj5P20CwvyfOOJtE
wlWtIPjArCdzviVCwy0/FHmapfflgvHcJSuAQ53fmaM8e4w0GtoSw+5uQB6KQ0bt9YHptnq2zudq
qiOwTWjo9kc0+Dq/W10nt6+SmVSmOJiOlDfWb2n2bkEd7kO2j9l04yDRjA6TILYuNEfI9p0ebW6q
EsTUQMZrQobfdEh5yqupKQbFFFnVIOixzJ2Qu2UiZrMiVNCgpVLhOMQw7Girqg9Ohv73QComLvXZ
oHVzqWsQRyIMxoRiI2oxvNAtbxD3M6cP4QQaFaR/3R6R+pxdIJ6+jiram9XvaPyOWUHSRH3E8U2e
XBMOG6WvbW++Mb2pvgdMBuKvbWeCuEME9lUeWf8pcimjGkfkbgEk+EjQGyCeljmf6hHPMx0+H3QS
G7YXHRE+44jzFa5lvEsp7Rs7YEGAvyURwH9VE5MEcUQC++3ot8+iXL/NN2YwpsSIn/NGEhZ4BWM8
nM8t0SYbamgVePFSAtoQRPIIsVCWZgN85WyUIoUWgMX1CC+OC+fl0PY2qJG1enBBg2EdlyP2WG4E
ZHWEIesjGDlsjKQ7eg7xAEd00jtilNERqVw2utI5gpZTWTbfyJJybnS0gZjjEcpEygagSfg3MtIj
ttltBGf+F8yZp9U9bt4gnga2tHSFNvLT8rDFZGWq8gIOae2crW+D76F3hEa9jR8FPAElTY9Y6foX
YnrETd287kRgbhSqikrgbIEj6LxLj7SqyYbwPYddRPjVUoh770i3ZjHREFuGH2EbzsbAEiFG/Mh4
RGPtjZKdzQx5NZPKeiXXpf7oHIHarFg0cO3G2a6+ZTy2R/hWrjaC8mhjcseNzrVFM3+bNmyXEoi6
d+3S/mgfwd4JscAPmzSAdxQ18i/9XyywdlEg1KsxfV2OwPCRHYY3xVV8A4rbqcounTyFMh4dv/um
1rn6SvMHChnZJkQy2x7o5PRIKtuG31yJI79sbihzcqSa8yPhPHfEU+2zpIJ8Ho8UNL0QiOjY9wcj
EEdSmoSz9CGZKpeEng2l7o5UNfEIGuXroEqHzPO/yOvGnM4EO19vR38reeseOW2H9JeYsMqN38aN
OZPXxbrQnqUCr5Cc+l2uUBe7S7GnIZiPnyYTsU5oEPIRkfy3SJQuMU2MjbBfMAMI0y6tbzauXhDm
nuEVj7ZciDAXoFw7ct3iIZBqKYYA2JzdjywH8VlNLArartZ553kg78EqzCQ6w66CHEmxJumnxvVm
rKqpn7tBSTvo4LpuXe7zosgEHK9f4K+e8z/RLsUrilQ5frJTSz+2GZuNcwcDZ+hjM5qu8mGePkjc
T6tQWXl9k+XSjw8eWTIw490g+4NddYSImmrNVFCtXbWE2M66WWC4VuzQhSTyYL8ORX1HrI4ZpKuM
/dsi00QJT9JI+6CYvZrIlsKV7wYCjOIL19M11WttK6Q3Vup9nHW81RTB9Ou3zWoKZNFp4V4QEj9j
czEbzrjLPcSFCMsVaD5zC+tCtyZOfmDZM26EjKJh58VTd2klHOLP0kmyI/DJmgtsMaP39SZLf4x1
41k7kvZUtucjxQl7UKy7O0k+jN5FZeldqTz1nDNkSQYKGzNGjpACNX7unTGdDqMi7wVAPF7pAKky
+764zUjyx5DqW3s2vc8OHrnNHsAUhbKkMf609tqpyVTEvwM5d5LYnAKImCONRz9NIlZsOFZt3qNl
6UqWDKLxArMfRjds1rLajBTaJiKJqHUf4zn2yOOwU/e69cvstowACMPYHvXd6hHXiL9pM1/NY8QP
GnOdZtATffxhXGsldoQu4csKQ0SGpR/PybulEeLTnMzgAfPcj/c9ClWmb1+lSVhGI0lTRFA671th
Lp+MKosQaRHLRoyoImUhVIRHWEE0bDj6bE8UUgQpBtezL5s4+Zpa+F6EI5tTlNCLj2O843SsjusQ
uVt0ZK6/lWWU2wc/9kV9wKp/VgdHlngOoFue8h1PsrjjcNx8xdlgK91XVtIcllp23bnysDwIpV+m
LT7Aqc2OpW3z5bAsJW0K2S3ibjWJigpz/Er8g5dW3QW31f/Ihd18sFaruEFRg2xg7b3qu0mq2he/
85CSge05M4kgnux2dVoTEEgBmq9RQDewjM+O3ncYzt5ai4M4qF+ZHNhpJM4OdNJ9aBefPUifWu0u
i9fo1ly6hEySqCrOVY+9+hvLQC0QDvVovK0zTrEBaa/JxZIrX59ni+TcmS41m8k5jkxJzmJmXRIQ
JBE2r842NPxevpvi2Xvv143thQLv+u+jmU73Q9WrD/WAVQLtmm68SuOcfNqldLx7kdTzD5kRNsi2
OJK3I3v3N8s0Y7gyCT7XgUiRODQ5C73PrS24MKMZcDunMWkSyWxU39e4W+/GcoTe1aSxfYC37e1Q
iWy8JzBt+iQKFIE7n13Lhb9GLQoFhNl+wEIkunA7NFZniIdYttY6ZSpa+6xbAh+F9IINsaoe0hV1
xrlODerSfQ2GGohcpVEgkmT0dzUSnadomZs7jINWAnWGsVx2C3Duwkojoij0ZVuuaIGESSQdtfw2
RAzmasZnOh/yNlafhCoTIyjItOrP5zhR16BgdfwFO4RWHlan3ooEyLfvAJU3O45jmgLVOuJ/2t7E
kdhvqD/vQWyUO9DQp/OhltCn0z+uA0FrY2kWwDsZ2/GLJvKib2yH0+mNsQ5Dez5nY9QiIZW4jLCf
VoTL1kQTkybk4zyRRyY4+5r38Xkxa2P5MKBuojqg4GjCBX2UE86d3aeB1VvmiG6GKsHOIRzvoSXx
Itkz2GziniNX8kYYEukuT8rZeWdmljSCtdJjvctyS6c7yv6uvi7rqiJPRValvCp8B7EQZKw7XOP4
WWyiqMjM2Kis83eTtHICOiuj+YDvNV9KVvhYehjx0qHOyLKHZdKOwKiGL3lfei37QyIKi0c5k067
a9JuybG/WVlZzShjm7wUEt8hB/rx02SLlqvEAGB8CqX/KDPMzncu5/ohtHLcm67UOtQEwigHPV9D
fInYkktGIglVEX0rprxPw9yZPBd5fxldYMgQLcSXYihwZU1bMxErB1JEOYLbbjgbffzUiQGlf5XQ
LWCBYT33d7R2UrKvmcjxefBxCqilg5dAaFTrlHXvMw4Z5cWxhvgf/fpP+nULHPSnyuoWCP/3X/0r
rh35+lqVJ8EAx3/mbw3K/7J3Zkl2Ktm2bRHHqB1+gb2jrkMRkn6wUEVdugMO3XlNeR17gzj3pEkh
PclOft+PNEvLtBAbcLxYa84xPTwoIex/um0skSZOxf/414XzF2BjlGYURl/dKfxf//GgUGciAHiX
FdggkndE3D/+dTwoFKRRm1N/d4WFk/pfeFA8+6faN00L/A3Ba1mW5PY3TRp3KcJhDbwhUX4zP+WT
rIztQNiva3+oHM9uTicNucYiWG8cdR+nFBTY/k+GYXQfTWK1yQMbBoOs9JH4wwq32pBUo7s09DF9
VbxYQ+adD2E/O1ecFDkimbUa+hufbY11AS960Lfk+4zZmR4t4FE9Z2WCsXVvRNQFAdjPKCSV3eVx
5/ZLddJJqRLCLnWXUrvYk9atbhhJcwpMw7iHnBNyds4Mwgw7annHSnZCXEzharLiTx3/SJ6TVWY1
6jQjKCqpqtbqvwizW44VAVXFY2Hm7XIhe2brR6/EPOrTVcIdR+PUtskPZcvxSMooGlYOqOOcnjhU
bh43GbbUCiuW/vXE6JXlYicjr7lc1zH/NKMyhMUyYZ+eR0yvJ4Y/QXLp0pHNRJlyx5xGw218T6Bi
/uzIhdQYIiHzZ8Iv05CE2MFwztspmLJEZeV6Sv1uWvZqoOttrG+kC/EqRId7u3l082VS071i8rqW
C/MBgVrvW2FZ+EeJxonA0hOcglZljS1Hlx8A2Hhw7gXtBq3dr/NS+xCy1Kgjv162c/rI0+noyb6M
4GMhNev7/job2vKSrKqalEFrvLQRD54sGfHpJe6PKOuykXQXQmOzcg6e1VJS/zJXh9inOZjeNZ1T
DQcBUytByTkcnR27Qil6Ok0dkwRZOCUPI0CdGKhhdTXOfXa6QTE5bkHZJBMnUg+8jiXPhVDfpm7o
SQuX43BU/OhjbqnuHVt9oq6Enu5h8xUXo5yJl5e41ONaBeU+BNoUtN7g5XDnBI+DlFExXw5ZSqKO
LMfbkSyCRLh6z/UcmKrNfCCuRjrtvdWI9ovRtcunnODbB56a/WwU4HoSAjHV+WJX+r6wHPlppu79
YfE4sETzRC01CtZiPLV7zT6f6sMMGExOMgJG076f7Nmpn4hosACD1X4hmjPZ9J76ZC0ZkU/R+D8L
Ms0/Y/F9ir2Fu322faMvty/rPMyofOHNufORVu5etS0qtIFP/gyqNnJbg3giWU4y/wRRLzhYUzbE
i5tZF4jPAkpijf9tsFiv8zwTFyITJL75ffMgt8Gm0t1Yn0O++onRVnvOfI/dxVGXniHd5oSGhrDO
NBvpAQQglZZT0C8Tm29IPZW8Y+Uy/LtRyXQm+I6QbFTXVirwYGq5lhddOUis6KSaj2RELaN+ltoY
zqmEmcaHQWK6vwl9ItE+0CvxVyqjeWZfep3v6GSqDGy70SgXQu4mtI/YcHNq/hNbDGUvAH8m4tSY
m3znRnWrI+bYDIwKi5NXzAgrPqDzWAn7Dsa8vQJ1qOgMsJ5qylggyZCgBvV0cEWfPyKQyKOK8L+c
ehQbMvkA/M8ryZzepuFZZLQJKHhhQB1V1ReJ31hrdwyLfqZ03pVYcDM77zBxtTWDje5LGOui5UuN
LQKiojEr8FErlAQu7t1286qk71xjuLWVLG9KvyNpO25pmzgvM+6poqTp4OTLtRNqYpJqygJpPExZ
GpOeDCvM6vbait8vQLDkngIkqx4YhIszCS6PTQn5dtmDg7ou1M0BzhvVeE5dbUw3R54Avyjd6723
TcNKaHVdLqbkg68CrzZii1aKV2J1NcxLKrlYgGRuHqmd0KAY3Cppql73VzI0P87KfwmzYZpv7NE3
OcHrMJiTJUiLY5v1ahqjZSGuZal14xzdegdOLROUuMuSXjJ+PovtuL7NpF7GK7PtKE50E723J8R+
xHbRdEIyuCygIC4zsj0I+bJm4Tzh9dpnVBKfyXjsoGledlY4+wSxvzaphmxF8j8bhv4YynzQH6RF
vEdRZ9Sy4mxJy/lFviabsUEmznWFNlHeZh5paE7BhvWmaamNHgEzEr6LGaq2mLjXbF6JjpNUnJhf
s/Ohlo7/nAVuP1yY2Pmd034OwNb5zZq/OF1ljFcElJrFpbmFLcO3QqhJw0TSWVqSLJdG8Ihuk7EX
G5W/EWMDK6acLxrX8IWOZjh6E8Wm3lluS0s401mejV1776y46q6XNd3sj0AS8i6ei4WY5QhI2bye
lUUzezfEcqeMzhmYHu0j1qFY9ug98S0EX9dlrj9sM7l69Wa8cJ6rdk+6PBW5BpkhW3Hr0+8pPhMP
P+XP+eZl6ixcOoR0tQx59XtMdqaye+hsimYEgYYYoIuCqD2DtDC2qpwA6hM1lwWAAi09ekBDMJBk
j0Kuzs7BDoSfKxTBpY5KCIE66UOPbik8u5TajVqL4tQa17yMS6yyXVI4+fapWVdqL7oOu3doPLL6
SlbbisizJJdlOaPIZg8ftGbOmXF5923PyVWvJL2z2QeO0If85ikcv7LteQhy2yfKbxDdvQAgdwIR
4gJ93SPe1nHBE8IyN3715tyx43njrcNyrSN2RGZ5SK2VsjZfE+PR9ZHKL7S8hk8cLU0j8au12B58
9uxwOaGbFvYpyMRgfUfpm0IEZB4HRJ5yR+wZhK+tCxCA1hkPbjtRPCEStOzJQB36ThGKGPbigUld
pu/HQENxM8d+EsecHHKKQJBewXlAMjUNdQgbpxifSmW3LL/B5u3/rJ9tFjUuRDqUF6cQ4sYTJWgh
5aGbDMGIaC2zlGdycDs4NGIql+sqdamiA2HL1RE4RzUdigFL78nkl9P7krJkj/ddNNZ1i7/sHkjT
VF67lELEKI6jafc3fesa02cnC6vyFIpIUUGy0zK/qIW/ZhfjOormYR7IsExaOgXqneGms3jKMyba
036VO0iQENSL3lyLDPyiMr0zTjfdabW5a3cmXJT8R0fUCrSBtZRFd/SadZyP+NI6P7GJLbwOK4I+
S92aB5c20jOlM/3oVLN7VQ5Oe+pNANdCRHJE25ntpwK454mG8OacauBw85dhVRVnJ2X609U8OBY7
xRaXNnHw2ToeOLcNyzcYRkN3sunMa4uTbB7VkRxbopO8lJCsJGVb6p/00pzolRrOliKhJFVbRJBp
Z5O8u4HGIFTDbUjDCffoJK5cOFLGcFg90HfnU13Pjk0vcA4YYcYyz14Sik1esNwW937lEOR54OfM
JEOD8vWyG4o8YK8IonIX31YmLXvHAcuXpDZlDPGh9lQo3QMZ76r8aJeeQYDs/54Hf0ISIDTkmPb/
55k9vLQcEWPOiWPRvnzPNds1ivzpP2yC4K9d1fRPJI61e8v/4Zo5UAZACaE6AhEgyGz7z7nQsL2/
dj+6j2ADBSu+d/7sn4PhHrSDgIlARt/yQG15/wps9kba4u5BOGC7UNGgyf07B+h7TZQrkJLIiRWq
RdgKEMtNH/1FOaeb082fv3tCt3+rnr5HmL2RBv19qdAWjs31cK++0ciqSbTKJbE8Qbot4tmiVFxv
4Zf/5iLIROHE2b4Z7vf7ncbLpOeHhEw1CZpb0l9b00zaJdz+oGLGafujJIibCSFDYOTCyhVQ9Hlz
HSNkfreZuJKgzVhLaJ/JRBv1et1tWc9HnoOBJnsMxR6nKYeZYluIP4gMpdV4Yaqwgh4+psv2xVwy
M3ViaYwkNscK7ia9oIZZDwlESirErY1QgB2ly4ZUZG5QHIs1ZdEux0LRx6DvoE8p/xr0Y+jyseb4
c7YmgDutr3YGBpLZav5SZ062JSGNWhMlTlo68Yy2jwkna+gh2Hrrq1PPGFklFDl730ChdVeEJIOb
8qj8o1iwy+mrS/oyCGDIcWWM53R50L5QGe0Jz37XBl16bbEHKKMmRcwea2ajIt5YPZa4o8uwJIgW
hgHPS5k90/MjF53jLQogu7JMiFJTi8gBBZsP1XeFm82E7apvQ+VSXgN+TC9qw7n65DGlIWfh6PNZ
oXw9dwxK0mRw2uUL/z5S69mauhL8qqQkDzOvGBM04rl9QVGxvTZFSd636IX3Ypa+MKLStqjCrpxY
57ij4O5HHMaBWJV2u1212RyI2Per9jJYKyDEA5UOF7HFRlWuCMYpOOXso6vLlT0/oBsxyn3Nd0wq
7YPpbnHe+t7HnB4QHSStx7tW2aTGDoTPUx8h0c6JvXlbr8yhGZ9Se1pINw3W8lE3S/eJRmq2y4O0
ue1yp30nWdW9FU/S0xQM/RbnpYL2415UlnZ5BMItv5LInr7DZ7g8OrBvYZ41c6E2bhhzRywFGxAO
Tdl4D0m7+2ibZXnrNZvUkeKg9ZRXwfDRRtJixrYe65s2t9c0yXrLf6rMpr0Cqqwu2qYIkL067QQB
LxPTTco2bj3tcxW8d4rQ/zSOnFtxQ4AmR2Pidpde6VpXsKp4E1Nfyccwa6uHWYbiDNcX1ZS890YC
jmsCEHOBhAjFkrGeGhXqaH5HPn70JAdQIlLXtopCBeMpyhi6L/NSovFRNmHyHJJSoGKrcJ0s8qjv
vHQZ2g6oW7PHiQkqjxVh7SIY0TTBecTeCMg/Kr0tOysDAxbvOqocqZQ3susL9KTvslzNlE7Yi2DA
2WyKuBu5iVls1EvzIm3d382d8L9QE0hP9chekPO7b7ynTP+xs4Kaj2w03ecUFQQZhezzNURYf0D6
Vdj2GK3TIu+wYVGrdjcXz1nAvl4dVrZjEEdKmHmxb3B2ZzNj3mhvcsGCYbAaUKlMnYXkgP63DAyZ
xoRprp+xPEs3bluzt6LC2HnsHEOyM05AqT5MrimRCZVGnx4W9BRpBOmOxtTYGBCrHS0GGzxUAMJY
TRqI+WDVdK0MrEeRh0/nbEMNjbLbaps72hz7W+/YxUeralZ6pIDiinObxqYTUZSo32FHX/1jM8nM
igAMg6Mh03Pbty5Tq2KGEXRM1TnDkgyYbNNIyFJNJ5W/VA/DnDqU/DZsNFlqtQC9Oc9ApAsg+cVa
YKaP+6JvyGYwNn/DoLiSEe1WmlIa4XK0clCfs0ELdA9FbLN8+6SjzM705K4DlYl87T6Y+f75w400
RxANRfAuqyd2UMWo6b+vKySKQ1eVBht2ezSAEiJKQLJlaPHFS0EAX3rsYh+aPJ3f91MnbkTDUfAw
bmRtH5qwzU/WjdoPwiSFzt6RdGMRFKGHjbe6s987TaDaA5oKjg15GNKLwYyYFXE1NrMb1YbT3lmB
Cu7BBfBLDY5QbC67zIZHNeU+Wg37CcWHOKEcaLQJtVTnBRFzQw/JxrQ1Nls9HyzExiq208l8RDpp
n2NLr+YIMVX+RVZF9sHGpU7DZNBNwXljKJlJncZY93jQvSmtrQrZQAkFsq7t/MaDcsKnnFv2Nfoc
PaPnE2GRhIXZ65NQGuIbXV+ate2St2nUoyw2krrkAJuo2slvYQU0OrH6ub/fn8hMOISXXiIztd6X
KDj0IR3aghJd3bZNnFKUuea/hjLxssV+BOion5ainfQBxPLe8xRz+H6ZrODjxii+rKlQYrVn79Im
hhzQrhQQU4qomPXySXXNtsSD9qmlVFnN3GyMfDpRLur6MyhB9GQZBPXzyW42Vj+KFuSoU8GDFTqC
5ozV5nW3VEOt6yBgiT7Ug529D0rf/NDIcSXlPDARFop08M7J61jXiKJt36LpMN3P1CGn4dCken0p
uBTsR8utnulelgbonax5z1EQ9TVnl/TRMez1HVpF43QcFheewbb3P1sDuWlS+SRBg0mZzLu+dttP
MNzrT0uHkCle05YvFcUF2snKmO3rJZ8cK6lM37nb8rp9bNKlpnJhYRNrOX7dWFI5a1LYE0xDZyvO
kFZX90beVhNnTDFA67GM8digDrGiDU0EdNnFIIwkw9kP8bki7iBzS9TWDdu6ByMrqkej3AO0Z6Hm
50UX2QsEBAjm/mRuX2uMnwBeGgv2RWeqCjqBapCs+isZ4oCcluZhhDEzUvlv1ktCCLaboVvdB9aq
2okIV+7Peiox/IFjIl0typQM3aVv7fdIHTyLtkEuP2jwt0+u3VnpDrrzcFIt3tWGwiONRsF2K55F
YyxRbU5kapfBCA5cZOaXHhLofNoA/swOTbFudy1ttdu2S0HKG0MT3Ptea3yWBMHUiFx2QW8Ap4nH
RO7DZVd70OBSBWeB8eOxvlJ6oNVR6AlkPW1JdWWgP3sOK+5Th1NxOWXu+LxxHoXLPbLUsYRcLnKo
bmBF7kBDlqcHkmW9ItY8HTfJtJ4uIA15a6RJmbhcWFXmuEUEEndWFb6r88J5LlSngmMzoqZqLGnb
yTCLgLTjYlyeSoS512PpoQzdhF3lF8L0EFZVYa8zdK0Yr9F1detTGSwhmienMC5HvcOKq5ncjnid
ne5W6t2XpG2cAwfD9QefykY73qXCTL+sncWHvKZ18VI5vr4Il5nUmLBIMVJQDCfH3WceQg7rVbJi
SRrzb/aG7DhKjW34FK7SN+KiGrt3LNvtxwldenqszJn6cmNbZOa6mXeF2Hu4MbRfPqDLEtQyRG2e
wYbv1ggdZ/cQogl/GjLhPbEVCTD2cb/4uWHvHqtQ+Z81zTbArVJkN1BEZJqQ0m6iG1YBo4JpnBHU
rD57KxUUz+2yBEacD+3yzVxtfQvNl5iKHOHDZSD6ie1uOdAxWNLaXo6/P6n8dPKyTc4QTNd7yxB/
1n7C+O6kov3AbomC6RLIQcNdbfRhwq4V4fpq+c+/v9SbaEN/93S6HvHkPpgYbOhvTW0ka4y7KXBI
UOM6j8jGOiPqTSP9OFAxtyMp1pxXt6zUuGvXHYpj2Hvrt2YdwCRWnt0/WULtEQHUmq0LZyTBgW5S
jjzBbU3rQqOzfuztKTAT3qv9dYIx6id0yfozVVjiWpPP8M0SpryDNrR+9LyF0BQ0sfSt+64KX/Tk
6I9WsSAHpTQf3KmGZAF/dLdP7VI3D7TeJX31hfNR9Ppc/re1/V1r26Zk/ttSxtXL+NLm//f//Jjt
+/df/VPFsGhhO4GJ8gDK4o5E/E8Vww3+Eh6ob9Mxd1+cL7jW/3S3DesvExjA7nIk5JcG9477+qeK
YZl/YdbHcPxKzcHQ9q+qGLvf543NyiVKzt//nd2L+saWB62aX94ptrUlp1i6LEXxftjWxk3GPnVv
hwooLH3bHIYMewA0PL//vn7hTbSo1rhkFNOv3A2KP37LDjprzC4m3jxf3pI2VgG+Datkdsfa4lye
ew8VDdCFHIpFqiP6nxRVipTDu3x0cYT8/tf84mEA7LJQ9uCAB47wps5i11KN28AOpQKOHYO4Up8W
H09Na+owqte0upLBEw37/F+7TXkIkC6piFh7gerNhGY2Ye2xWHaRhxaQXVSWOttJOFtYIn5/g29m
TiiNFkYmi1HlOFCP3F3r8N3M2bRtSQZ9yxxEeM+7eS0dcVitML3geD6Jk39/MVQ4tB/3cc9Z4seL
4VAgrR7Yc7TxpM97q5uul5adLqL65fH3l9p/95tR7O+XMD2wR0zWewHtu/uyUsxdouW+RIkeq6R7
/y5QYj6p2roGT41U4PfX+8VzBKNF7XGvMgbYBH+8Xu0aBflCHdbLTgQJ6vg0HseMIyh/8+9fGcow
ipX7rZmh/WZsFH7TZ1KxbCBrRQdBUsyUgudrnTPLbtnD//7G9s/tzYMMsD0jmxEWSeR7Pfb7B0k/
wK+zyUCL0DRlzNlN4sgYIA9SSpL2F0VhwDwZKMz+oSz4q+tCBOKSHIXAy7z58ia1WGg1BdfFszdF
eirca3uFdDi2Rf5u2cshwZwbf/Bf/+I1BgI6CWZIWBRs3n+82xmzRqMM2tAM0xUpMF95Xw1djPra
/8PU8osRSpsHxyKgOepYP2UVOwvC0WVPspLbFtfTZp+s/hycEo9UJguV0D+wUH51a5AvdsIZSKef
rjcsIqMjFcK4l65/ZsNST8jB6e63oKj/MEL3j+vtmMHojLQX2CHP8s2YYaNrq4yjVWRmRX295zfQ
Zvfy4+9H5i+vggbLsyFU4XZ+M0LMpkeK4TGbDCVqa0Ikg4sct+K/xtXsBXa6Bsi9WIJ/4pPkGpbR
ijJ4gEqP4tb06/XULUHfJasXmMMfpshfjQogMi4FV6TNLkv5D5+baW7+OBXMW4ZSD7Pa7oD2LxG5
Y02EMW34w4v61dXYwu+UY9PFWv3mauSPYd7p+bjHdcjO22J0jrLKxJmpdX+xLdv0h7v7xStjRuZr
Dk3BNb03yDvkP5waDXp5y9xzFNxy056TjJPnn3zGvxjsXGJn14BRcn9qXejetXJV8B3rmdNr0oD3
TES1m3MLJBMPvx+Iv3iKPERYfnBEOYWEbyZkwgZ1q7Kgxb+Re23Czxk+cxzxkOwbsJaAc7n5v58d
WbEZ8zZnnh1w9OMw2bqAvEFtt0RVFGlMiTJxSQoBpuQZBzdFi6a1tfxhJfjVM6Vr4O2UqB0F82b1
zhWFz8YgTFXImhTUtMJlwum8omj2h6nxF7uu8PsrvdmC+r05BSPi/iicw6U8wmhwnpiviXpoBdr6
SCG8vF+2tbUO5TJ7fxo8v1h6QsHkRUoRB0rnLfioUWNAXcSivEpa4AkxCsYtuaphMnhyOGA0W8/x
MabPvx9Ev7yov08zfB4ADt680RENvVUEaP7kwkMtoLe+42j9LscQcTT9wTkuMnf/cM39Ob6Zp/eF
gBl0P3Cw5/5xFMlg62TpjG0E3MCKsrw9p7hRPxOaUn7uGqf56DWUdz2DsBJ70c0fJp+f3zKjCAo0
AAniqnjUP17ddDuhHdTqVCW0dTfZpBfW+Zi9oIKZrrbASA804eSV0cs/rIQ/z0L78OXLwS0MA0S8
WTjonIbYdNs2ShGQ3KDsxAXvlPbd71/oz7MCoAiB3QASNISrt+v7LNqpwEEGYwWHzMdsy+c8UZ3s
2qObIoJXk5fRDP9P2/z27xf3fVP45wfKZejU7g1w2/Pe9mtz1Ri5ScpLhHWa4v5QtN5tiFUaWzok
tCPmPS8SbWbuZey0HP4wPfzq6q+7+r2Tziz/ZgDPRmcWFjWYyOx74ggFRZgJ3FaHt49s3IJ+SgsY
IOk1+cun8J2sr7+/+5+nJ4c1xdxXTRYyDo8/DicfiBjbZiYNW1fOGf95qXoXXx/am+O/vhJUI2Au
3n5BDvI/XomzBKk1Natmm4aiTVrM3LgPKjCcR5+IjfwPD/bnr9RhHAXM8+zboIC8/UrxxZRaSZYX
ux6+sKDguS6rxKpSuoeq7QA5rMOHfhH9Sbk67tPvb/bnj4WrQ78K2Iwjeg7eLG5qomk70RqIgD2X
F1bvm5FXtva//iT3q1DYYCMMBmLPpfv+lMEXEhCsgCceGlWICNy9ngNtnP0XtwKRhK9egO5/u05L
1/UNel88yGXrbxHHYRopTHP+E775F18+PCobuhBRv2y23+yq8DZ4zbKnSWVUEpNwILMttJrsDES3
PsfCZfzrLSpmBHwSAS8IBdZbiLPM7LUb9ldkGKVzqOegvvayeTk0GUag3z/CX43FXW7yN2OICsWP
76kpC5Pz18oeQCzyDIu5uzdlmsQmmuusl6N5PjjKu/PGsv+Amrr/w6fwizmGbR2PFE4NGRZvcf5e
jTNwNNmMp7tjIRrQh926QS2wpWoxPto2xihSjYrh0cUtPP7h5n9eotlxUS5BwQK0yn87w3XG1tsA
A0DhbZ35gZcB1KS1+RjjKc9qGB6Qwe8zQ3v/xYTDhUGC7mYYioNvv8GikAOaC0pi1iCRs5OXNgco
RS0xVQ+/f8G4YXiF328KKE5isIGMJfYaHKEtP77idMxxTLh4HAK5EZE4AMlFzG+FFDOK1R7sk1w4
NKBr21pqwkpUpo5BRbM5kU7YK9KkKuuDUAEFaWAz3XYs7CH42q79uvu6F01Gfd+kZ3W2n2bmJh/P
stnEKAqKQLE7R8m1N/Wh9MbCXLDgbhr1AG3YeSVWsO0F7WF8fZGcc++b3HD8R5PVN+I0kNNw5S+2
EAm5dB7tvLSpvpTg5+in9koHh3JYYMTSoOSfLU2hXwa/qD8T5Y0Mgsh2UB9lpTeSjKXcpRMgUfDh
za6xJlUWLJeITwpxQek9G6LRdivr6Lr1djL6c434yiBHmta+aWeHUY39vVWuJCYBJsoeVncjUY8W
kPlJKZfMQp9KfBFtkyBlcg19QpYxjU8xyA2SYmHF4LJlW4GIolhLmOyrpiMWqvZy81v/2iGnWR9w
HAwesufU8pDSbPZV7lTFGpF15oVUCwmkz6dlTiEUGejHg6wb6kS6kzo3lTcUieCIYJAJni13ikOY
ivU8DVuk8UCSszBpRJe0vLpPZtDv+hpLNf2RBTalnWP3qEwtq3NNFDWtvqvFLLyDQ8Yc2S5G2PU7
rZbG71JK835aQ8EBL5zUXV6nBmqY1VYXBRj9kL29wzwyNNZ0PdQOGBVJghVJbR4dd1KKlU0Buu9v
s9yQ77HIq2dXBQRDS5JQUCikDTYUJ0+tz+WcLwS+wISwD4Gn6ZE6bamWA76KUR/xBGAIqsyKFEff
IpavGHOUCNAI4PQInbI52pqqkghmQrpG2mr1irZ8pYGNu0ANKN728eEOu6EU5YgBabVCJZ1lrYU1
cSPiHStD5jtR28C2Acvbb9OBPSsd0w6MxzN6lLJM5qwJjSQQ9TRFg+71cHABpt01A2T/WE3G8DHt
KbqTYyi368rFHRfbqGQJJ1yER9c1TMPHJsR5vDc63ezYkENPNjX+j4tg3ehI51u4mOA3lmGIwxGu
UEx7XT7ispp3wpGePvdbPuAgogP6cWtE/sho4DGYznqsRWnq94SVZCGqKRnaOEm1a59VDdHkZw5R
4VayZMsoXxYcR8u3DXBPHyPnWwyY1p2JNUI4S5+kterrk7mVlvm+wSj8IulMZoTf9Xl/PU+ZUd33
SM2rk9bb5O6pwSHEtgK3U1xbaYclCns+5XRjc4ykq/20Ph8averT2esL52K2iwxKy7aOLhCXXq7v
M3MpbvNWhDk6JkHfFL0+jfhpNIPnBY+hdXDnhszHzTfr7dSg2mbCqBsFLKLV829U2VqPQ597Ak0L
wdSnpFvaYzJO2h6vgmDb6vfZDO7qAAQh725Va4ZmMi3p8AXlYeNA/NmAWJHNOTlfB0bRihXYS9eP
qgyoyOopX9sTnqqPBq407PCicC35gh89X24IlG6bm7QHmHPVAtVQZKV56dYHUev5Tfkw+QG0mXUj
X/ysZAYUEU1uKU4GREJXpBNqfSEadpxXi+fX6qTQrrvE5TSYz8Y6zxCoqBtj/2aAw5RBSq1OerzT
NPFbWu6JUQ3GjfLUHB6mfZDGZNbo/BobBE3LidBUFYOeyrNk3FaVPlUhNXTCMjvrduj7AawFur6T
XTSpgLAY+eWMRS0/onBYjYs6b4biw4AiJr8OkVVv/GEZ9AdrXIRzyhJJAiN0KWu5mVL8CC+46Rzn
gHncL0j2cNsuBkg2GZeqXP1vgDh4n4Cg+uloVgR/HelYaXHXItqXF77CuRZjXWnEcQrt5ZvbpNV4
CgqiEUm1poidZJ2K8iwzrfKzuc19USGKMKcni4ktiGE3ABWj/bOYUTMZvbggMXy3daLxM06LRof3
toOiNLJnJLy7Ds2yIzWbOk+8nkxYAh3VQHIjqRn1RdjA9DqnIOWHZ/g0mg+iaT3mhnKY2J2obqxP
9GrPKlGhIZ5bJKoFThZuKU6lZ34SqsFeX0xrfzamW32yeKllED4fll8J7Fuf/WzJrvwUKVGIDvaI
Qb66seqgqs78ZhqWuJV4m2jIrfZ2lF1BTmYzlbO6Fs0ix7MWcREQG9lqjwLGuppHDWxpjrHTTFa0
eu3QJj1+p+VomTjBkm1ldo7HuXS7s8HGKhKjYgyL2PYabz3UDvCrazJKmubUmlhAI5kXgThgn97O
F6Lbq1PsUIuRFJuz/5+pgQSk2Iqgg/bV8G5Go3LSQ9cYY4nYTxf1cy06JziZAp90W6mDnB9SGRbb
nAESBFqG/WvoWIyQIvU5+kJX5f1wRmnDfVig04mDWyC1jh3SBFJmS6DAkfS4WAzHTNgRWzXnlmq/
WV/ItU29xF/KCSwT9IUGVZqU11PLDiPuzUGV2AAGDgkW4suvGEWtK1/0SGiaV5KXvUO9LL6L8TLf
UV+S1E07cV8JYH2208Bmbdb9gXUYSti6pkh5hmnrn7vStO+aV6JYbhTyfnFcfOobNoocnevOHyuQ
GE/x5IIlo/cBoYwUBqtI2N5ALiOQrs4fmlG2J+Ur22z3xpuRuyPP3FnW1XE2ekhoc26jMTZeCWl1
O+tLF2oTwbp6yb7lO0ytJL2YuOpXxprb1LQ16iwY2wNTFxw295XJhtRbTyesweUdmcpQ2/wd4CaI
JCuTflagmhoPxBs+Wrip6RoWT0Eux5EfvPPgfDUst5AeoMTlOzAuY1zBsHzlyDU7Um6xN++y6O0K
ERrAOfXKnnOKKf/A6IVIV+xwOg3nnLXyb2Zda9f7CDLWnby4Zg5+4KG7XqwxvPZ1hnaLY3r9EUYg
mbLTDsZDXGEOh4ksoQOSU1glWuwUvdrkxxBNB1xvRjf3roWY8a22Rve8eKXwdVitm2QxNMyurDey
z/krs2/p+WiO9ggWClm/OV95wG2eDax/TItFivtozNTiJw2biPUSaCpowKaQc9KvObIr+5UeGM4t
Y6vfoYISROF8CoV8rOMQhRTCnJ5D9rWGAsTOq2pgEyLREE5cNdU4n3mv/ELzlWVovnINja0EHmLn
ro1fJ8JJ1mKMMee0iqXkoe/aPcaSM8/NyQ4dcw4pMSVsymjh90D1Jk4rBqJWWNbLyNYT5WzeJdR2
QaKNm+R/Nmc4ZDOWJeeUdtH4XgbM3EmbClEkBgR9sC1W6WyJZ47/j73zyK4UWff9iKiFN823ge3k
lbLZYSkd3gYQwGzuAN4o7sTej6w656Z26kkrb/tUNWpVGgUEYT7zN6oXFCMBA3fGmL0oXbJyvPMc
LcrFhbxNXXHgx9YeahpOnSneRveKGTUYbTF/xLJgHFlGtnapg+EbiMFTFYYhRq5DUGkmsjHxmEB5
VGa0uwJlqfjpY2VA+OaAmNKdw9V33wvNW8K2I+gA8ZogqanNXYaXotYT5dQtFn1bVB4nb7+KTHQ+
uKfoIQFo1/qEYOV9PY8FoadjLMpZWSW2FSRY2NxGwkE0CcMVtGbMqkPairsiXra90KsmmFDuA3NX
mU2o5EkDptbuHNV3QSpiDaUtPdYUltu6R9dL3e/Ed6uqIdh06tcoe99hlp33m05TnWtpoOqBNcmQ
fgJTCHSHxq/4AWTOMzdKis4X3tkCnmYnZhdmONIyP+BVesdqgjod4m5t3AK1Xy6WoZAPc2OBTdfA
s+5doF6dX6FgAwq69LIDGDEdvNsY2fph1GLvDDgcD2HHrv7DVUWT+EuVJ5NvoU+AcEGn0PLl1iRB
iBV8kbEPovZI3G8hEQgPK/9mlfo4cuTlaeO3ToSsa29OaPJwnSVGUCHOOe4VLBth7buCXwH3J+/M
KG2G3TJKGL056pmpTxmVJRbx5CH6s4kd1P2koCmAX+2+XuymQfpTnSUgaQV9Eha/8YwiKLxWk0OP
n60kpb7RtSWGyNsNFTnYNHjnUmZQXJ3YYkHDDEWpC9r/+ljDMH0BH8bAsZewlLsMO3LWEzcOgaQp
7+QCS/HacGOr3Ndeohp8gLn9lNmDjswWdu90k6BL9px4ib3Ksgr5HfRnciMLjwekEkimMlJl7SgQ
qAwsSxFdgTI179WpInOpkU4gZXDAyPlQahA7cIqJ9zFiSJB+1bYFhYRWfs/UdR5ra8K7XcSqZ2//
lhXMzI5Eh7gquclKY9GI9iHAo+81yu9qvJqEKG6BGk1dYpt1wMaUEYylH/DZVoR33pWydM6dueJ1
iHO984xjoOemltCf08KynZDQet2HPYYJW6Nc3O0c1U0S9o2m/bC7Unx5v+5wUtnB/wE/F8pKtDwp
mANkel11gGDU9Y3hQJpRTHKkAuvVYa/GEcjkLIIdCVSJhMyECTkh2vNBv+lnbfiXmsffo6+lXBOl
ZQ9Vttej2zhzt6D4S6QYTCR4zTkOSIZ04mL3oW2AYrYDmOKur+OwYEaCKnPnHUrDItRlHG2S2eoe
FYM19P6k/ARXvPdc66z9gmLB3MC2qKZXFDNA3oedFsFbBR8/hbmu/kgr4FGsbyVVQepSYdf6qApz
+LBQEtD9iSDZPL3/RCdF9r8nCocT6utosNCuev1A7YRC1GBmlL5LkmREGpApjrgNaAOK2q4/KPed
lKJ+jkZJkwVBHVXnn9ejNdLEv1uDBT1nlvvFTB1CqghlcRDqkzV9gZ2j/1lP6u8RwbpQ3EN2lU7G
6xGrKBJ1LlwCTKxkr20oqZsh0tww7tXpMI+qt2uqZPBrw/4AePL7+qegaOCCxQpk/FPU22wrVgG3
iHSyQsOFcup8MYMpOgOKy/k0oacBB7zFLb2It+9/0pOSLq/8euSTT+rWY26qoFo33TjXSVBDofcu
OQimK68tV5JatHDZtkjNNPel2enjYUwETm/vP8VJm+Hvp1jtjmiqOEjYn1QdxWyh7mayA6E+qKSs
mX41L019eH+U3xcU74qvCIsJGXdMRl9/XoZODa9lPxlS64+Wxi3ultrRbaX8BNfyIwH336eW5ibL
CNs9NG1RJXo9HAewhSYXL7Xwu58V1LVgMLXDzsklGj4IrgLziLizrH4IinzQdu+/7e+bleYjZxq+
RLrNwXrytq5J1ahU2D5dT/raT5HwB4ODSs20/fsjvTWvxNK4Ga5IMRAer1+08XKUjlJauVGrt4ci
izWBSASMHNfBRYL2o+N8YBT55oiYnaoqzb61X/56RE1dMrR2OYiaBLHRaFYUpA8yJ91YXZIjSDO7
HyAu3lqgIElWywhKBLiAvB5QApDBeTnmKO4GrnVvaUQTNI4Yq+37c/nmQKDtVnS5yVc76S6mg42K
8MhcLq2DKFnfEzAj0PjBKG/NH91aDRAhoDBNPblvpeP2aN4zSj8kFpQoy1v2WaJ34dS38BYSZfig
efLWYqTqZAFfJnygQ/x6/pBNtmJUIFki2ujdyGppEfmNY0cJB4SHyw+Ok5NWzc/jBCksUEZ0w03O
1Nej1d5QDACpWPpaXL6kiceNgfJGOi7NObRM4iNitPHh/S/3xhnObYVzK1BJLsdTYOYSIfVj1XW1
cdME6VTNiXaCCsAG68RtW0TuZcPZvzPR3P3IlvKNr+kAFjY8oBycbebJGU5ltE7clp0uosF91rVc
ywhZtHHfLVTOYiP5yDTijUW6nmgg1Wg78knXB/olMBHS6y0TftSmNBQQItKwtoNifGRv+MZXdCCe
s0zB4AG/Plmk3hzFWbXuOaoo2kS4vFqKGoL68larVFjJaabOV9o8dskHB9qbI3MPrfaX3EbO+vu/
vF/kZjMlXiAilHJJMCZDj4JIsDc2M8igL1wtJRQOzRqjDwZ+Y5swnkrIQ6+PVz75kh0tCqcfGHjV
BzpCIB5De1KUG68xhw9OtDfeEZSVAZ6L0wzhmpProS1UfZFWCSCUHlmgdIqxmxDwKZhVQ79p6rR7
yjHr+KDT/8YL/myNA6cECK6rJy+IOPHgeSObJNWEFahdjG4kZdddrE7LB4fAG4vUMzgCABmtrs6n
0IWs68tuWHhBGEdm4PXKFMjW+gjG9PsoK+BEpW1qeSBF7ZOloo5U5tIWWJzSJsNVLvMqdJJs/CA+
fGMUoiONfzk9QRCcHJ/oPUHks7wKynyXYmBXWb7WJnb4/gn2xigkP7TWucIhu5z6GFIaHCeyHCx2
ZlopV102qnVQdwhofrDM3xqIMJdmPkBXVsLJzjZG04wpj3PJSdX001JHkjuZPnDs+f1URNmD6wZp
EArB/Pf1JoZOg2YV/S6qg1Z+5PBM55BWAm83Ia4d5knczM9/PIEgvajMgb/i1NDW1f/LuZFWNiAk
vHop6ZIsd4nbbJt5moL3R3njxRwwySooYYzVMNF6PYoElI8TQAvAxEOorC4S5xwsndjiWJP40BM/
wia+PR55if2TCXB6sY26OjgOHasNwmY0QxUMkBzATzjehJma1TfD1Blf33/FNxYIr8jn45YB8vBb
PaBEQdNYoYlzUqUBDBwsl+p++fP1jvmXiuQIIHV0W052FbVX6tYTF8xQqNG1O6HHJbJ8/oDMs66z
11k8iAyLqwQikUf+cXJCRHbSx9Bsyo0B0n+bFJPwjWyUnyA4eTtPIoyR5/GEqrdA6fL9aXzjyxFu
gSVf7Zw15xRXNaZq2rbgtfBdMeOnFe/xtAyeKbZFTT0PPrLUre37Q/5+rYDO4YORD8AYgeT2enEm
Ek1ntKPKTWRUy85Ciu5zoQyzOFd0agbXUT0a2k+HiI88yN9YMpAbbJcN6LL/TtlF0IAIYJGroQfS
K5eZZZYb0TTyj+NYXg8WHuQs/BO56F+/Xt1MzuC5ELa9wq12NCwBRYAFdNgKRVF+ZHf81tJZr2aw
XcwoCPPXow1cahUyEKTFLrXuzDYxvilSxfQt+poXMFHnCyxnlR3uPfPd+9/xrel0mEbAVhjAkii8
HtpJEcqMbQuHjsWi5VU6XlhDp/XfH+WtBYpqLzEzW4RU9WQ66cY1MP74VMhDI+MDYf+zMYFTnXOz
3U+KLf784nHXTN6hoMTdcBpfLfgW1KjQszrNGv3J3uwbe5MmiNx8EHz8pJ+c7npIwnj1UnFAmkp/
PX+Y9OQRBpuYdSwRMjh4qdHKFihJFntLm4sqHHJUCtXR6FyKPnXztYPnjoBOCcjtg2d5Y5JX6Bjp
EHPMzX7yKRc9NuxmASA4g2P3aSE247zNdNQvEeQsg/e/6CmAjIuWRUPmCptwrQacAshKmXcU5iiA
Z1oUJ9OmLBFJ2ovIQgMvgRuEbPuUudGmQK2mOlOpaz1qLXkcxHm9HFbZIKv6qjWLNu2LSbESgCIc
VmeOPgJwiUitPrgEThmnPx/YVG2dOF8FZndKJJpKL4ltVUCoYzOXYTr26oVEVWAHTLzaR268QrFa
sUsQsoVoobQo0cSzo90ZPO7wwYZ4+2mgoHkYuHFlnK4bnF8xc6f5uYlQPGU2hin9yZQxLR8FxP7K
KhPloMqRLlHR0o8t0C1RRtyKhiRTPwjW3zgDVo++fz/LSRqdANPOwP+iYjN1cQh1svBlrH+UTL61
PFkvEFCpVHHenBAB6jlVI1xW4KD2Lb6AnSe+G12bX4xCjY+jIPN7f4W+9VbU+dmS3Mcg5dff/yVI
M+1FxQCUHMuxjBZja3zunLmUH8zduqlO9j9x4Mp2JcniU55sugl8Je4IZB9ASNpnnD6soEX85AV2
80cBxpsvRCYH+8hVdRQQXr/QmDVo1miEMR1ejgEIzj7sRv0POck/twnewXDD14rK7+Db2IkaZKbR
JB3iFEsx1K+HgPwN/d/3v89bM4c1PBc2PYa1pPH6dTpSBhd+JwMhJ7mFV4CDXD06N00SG5/+N0NZ
FGjXcB0myuuhSjEJ8Dh8pGbqmysUNMGW5C4qVHTTZXb/vxgMCDGFPQJ39FBfD2aWMHhsfVW3oaez
HYYeNhHol2AEqLJ9f6i3VgSBH9cqjEXihpPFJ4vatAUAMfIQq7zJ1dS9tN3xI1f1tzYuqhvOWnTi
gjkNbCvkSWhXsu4q0LPqZkAkFbhQKh8S6l7bZojy4P3XemtlUEKEfmai8w+H5/UMGj2a26VNlxAz
GuDES6nedxlYBrKF5IOP9fu7UYOBKOCs9GOPffx6KGkiLi5KzCMnpKF3SdTe1G53BHpn79UuHT94
sTdGcwHur+7ABCfwPE5GGwwFSndXbsBU2scVLHoHiikLE21YrqM2iT6IYn9fH0iiaJ61Biek+frJ
eCmMMhNTd7C9Ths/N9oCdhjnr9v3P9ebo0AdYRuTwtmn55KC7s60tIziNHH+Yo5xh81mkn9wY74x
d2uAhfYgKQe398mXogmATKQLkKsa5/FaQzEdobkqa49mKe1HHRPUH3/8WixBqCowZn82z15/LMMu
0MBPSDQg4JMClPo3JMr/kAjMaUuWYXIscaDTbD2tkOjKEDXVMpI01oYB5TIqFWrWJlat8LjxNOSb
fTCPv38tznXw9fiBo5wA5OL1a7UjSNh5pNeHj9lw7ixZdKEO0pB/fLo7hBS4wRsOpztZ9+th3FLB
1cDDSDMx+jos8/L70uDN0NlZ9KcvZAO1cthOJN5IyZ5uKvxjO2z5kArU2jl9LmulCfM++ajq/3ug
zzBkvMQTHngoWBqvX8hB0KJ1HaRHulwayIhXbmacyVnmxsU4NEjJZcJT8lBtLbTeoAV54w3dVALj
Sms/7MT99hF5mPUIIefnNKHr9/phCnKptC54mBkXBBxbOyM5N1Or/KCk8cYwxPc2C5MD0oZF+XoY
daaNiVkO9t+OdAPPkN8x/4n/ztX+Iyn0i6QQlXe+lvHLAfSbYY7//aX77//6VRf533/pH00hw0EA
CPURVwc4Y7LUWYL/KCOb2l8YbVMrXLtSHsURTsd/aQrpfyEiQjWZmwf1LLLD/5EUcv6iPs9PI4H1
VngAN+0fWOYYP0P4X4NhWPFrWrjS+yiZEHu/Xi9olIx9l0IOtftRkYFDzw9kxdIK/DhqC+YNOKed
q8U9kKxUn77UFE2/0NXOX0any4HeoFm+StNX1pMxpMPLjD8HamSo46FQNDrzN8CPgwzMCTZO0OK+
eJMpyxxvYppwaOl5tfmjp7x+MydeXpxNGMCom1rOQHfz1kXnFYtF+BooAIK6tdzuOgeJjMjhghCT
P/SjVvvpLNEkStJav9SitHiOUv2iAwGY71VzQBtzkCh6baRdRe6mW+bxfrQdxQo1vB6vl0yOUwA8
0zguGZFtkOECTdl75owES1TVx04TxezXjUw/TzJDXMywcYtTVFs0oY4RN0ZbXtRh6Dqq/Rnqoqj7
oaIaQ5iCfQ+hcRL66HdT1N+qiaO86C1m9bAhgHUFTF3zAoNTXGM4MSgbZ7RasOjZEueBJHy/MECj
kpMLj06z3Y7DmWZEhQXevuzvJH66CT7qwHAgiVfmYUzTeQjpwCFnKZy8sY+lPQPAxcYu+4GRKBLF
jWWpAjn/BaW4Ine9XSyi7K6PeucyGZW53TSpW74g61hU2I9obRtgmSafgQug60cVP8r3KZjYp5VT
6G4QrGyjbQznOPITLUq+ck/l2IQpSV7dVPgQEUUbg5OMO1OYrb21hEyMlwz1x6ch0r0OV5ypiAMS
eKQGM88oihilzt4wfLAT+fOA7sqljFfW2aibaeXzQEr9kjvL4pw1hh1Z57BCBqQDHVtieFKmS5fv
W6FFst2o9SwOaEsoywY2ey78ypRNtiUe6sVWQ9+o3tXcQNbOdVLxiCd1VIdrnZiWXjrEoak1jhkU
mofrrVFhyuzrbllTW5iaMQ+M1q4anxS/mK8B+jloZQJnnXxaTT3meqClno0cVl0Qax6ATyErxYA1
O3bSV6o4c1EiVSQ7oGkbYOFeWcWgMahEhQIN533Ty8k8alnRF8CcykLesbnqB2vUVNaCohb15Rij
PeovK5mLvsIAvlOqN4pQ7Cjw9EjbobyFx1syWsO800at0x6qFKvXbZMA4UQSb8QbNOsGedMSR30u
HRgTkGHjzPPzyJ2Kp27x3HyXu+MAUN4j64dYrHJROvrifkbNr6UzmMVNtqtVksxNohTJBXlg1TxF
mTZcxHGBAneB8OXNjKCPAodP4SlLZSjPQOZjRC2lTlQIbyZhMpQ5w36o7u5aqMFnaT3pzzEcSKzi
RuoMMAdYQ3sNFttDXNYaJDLRas9aWiv6Fn/t+ZyDC0ubOGc7hYg0Fl9ZfwVKoHgOfM4UY37qdMYL
J3j/90ptgRu2QPgelB45851o0kX4ZbUANdbzPAvr0SsujDq1LbzBbZQjZxmJMDbG4QHGEo6A+dQ2
SxjrtXVRQNes98hM2vmhB4uq3ngg6OE9LlYH1axLII5gy01b0HT5GnQIRfQYo4Vphtj/ImyOpUvE
6lFl+yNtms5gl1sg+Uu0JzXWez5kW02B0+qnytg+ysltYefhQbOeK6lxLutuRnNdk8qMw8ps4SOy
qttSCNOVK1rZNRwcURt3bmWDgETyQR7mtDAB56qN8dLGHQhhq6xHnFksARMkL031QWRZh4+oHiMq
X8oBhGfZUAWWnWbW+6iK8xuPeubos9u65SIXUj6Pc45pX2ThSGLEAPEnPG43SpL0AlBeJYO8xF9k
M7vtak3WwdPYGEWzAk66BSX0wZA4nWepLvO9kvR4HhkmrIi9QiP+yhxWyOzERrhJIaYOYWvq4qrE
deMFut80cSnUYPKX0VU+TU695hqWkR9p055nhlk4F7k+TnuEHzPlzJl1WfsdPK9PkcfFd07B2ftR
ge9as3FM0rJZ5Cjt4lsuNlUuiuoYs6ziLS0guwiBFKQYHZX4IOy4DyrsSgrAahvPSYfbPMEMZTua
qwdQhfFJHXBMpVMwlcIRfjIXJlbsao+mOlc0AGNlEMVPaLjmk0+AAY5SEX9dqgSmSDE0qxdKrs4h
7i+WfpjJM782PSSLQAJaXmCoDvRlXZyZMTltyp6rFpVu6S/90v+TFfwn1vsl1vspsPJvQY/f4rz/
87X7/muU9/OP/xPh2fZfq0vCT2SRqSMNSI30nwgPT0Q0tlYhIAiNRHNr8PevCM/5CyDSqvblrcKS
9CGI0/+tGqn9RekG4IdBkR7rBWpEfxDi0dsjhPslxCMs0tcG4yomqJvkdScpQTyRCHkYMNBBhbX1
os5aQXzRVhbMMoNUJOeeQBx3wKK0aXBDjrI0vcBbKj9yGPbXuZe3T1FbOlfN4k6bBmDRJ4y40Hyv
VwrY5MVZGizTwFm9AJ/cxk0R7duuwXfZUPoby5sQ1zW93NxpUI4jvGhF0tM/xie8fWzwPX/yagyS
g8JocdbVitIFcm8W3+iuWd+nxOwvYazFeG1NWoK+T5/vFlDh14UzL5kP29S+MDU6VE2iOo5fW4SL
tm3mWyz/XJ+bLCNM4x5s+oX+OA27Y20S8p6r9DTO4Zp1mLtBjsBxND/2YMd+WAjdp9zlkXeV5Va+
Qy+6w9K71YtztMXMQ6G08cHS5D13FL0p0yijR71xo/NusOMjoobeORiAu7TPUizhWpz36nyDEkO/
V5YlvV7oPh2bWUtu27yAQy3ysEFr9rIZCVvNdBSPWE1V+8lNncOsgGtcjdLiB2FVUerjbWkEjt0r
u37K1bumz+E5YQr8QAzeBIucm9Ak3Nnr6JGEU63ExkYMVhQ61YjPgjWVM17YnJcbZep1H17XfNHY
1RI6LnYS7TwuBygaXlhaOeXCRLuFinWkR/0IKxSN6IxoZyAIcmTk6zlRuFb1Gph8GxWC2XJ90p1s
t7YM/DQuKBITLU1bPqW+WVSjOMZ9lZxRGGx9F7uZjafjGa3jQ4u+vY1kW2uLbd+vmDW3N7ZAqyYK
KrV+SPK0+rK4+hAuGB0SDyQEuPa82g/ia1j4KDBFV1Vj3mpVirK2ibJYafldjFsA1af2du7UeMth
Ot0qS+TspdPPPl63mZ/bRXbppO4YDqR1N4xQ3yJAP+EyrMXQWZMxLPum3GfAsPH5GutgZHH1N+Vk
SXcLYaLFg0/kmGo6STFaW8WAaHyMhtWTqLR+GhSNUnqpdRkLPULNP+4qWCs4zlGE9U3yHcPc5i0V
+9WKQyMCx2y+TWrtotGAIMOGW1208EBPuKJkfzun+MKlZ/Bup1y7zuy0OiAmHAeGyOug6VrQM4CD
vkMT5wfFubmFC5KexaRx3+xkae+j0ibVyef50Hlz+lRmcca1bqne9WhFKyudyUroLEOeTxIBRc+t
bwuRNVvwmZjaD3MEeauT9jl2TjmEGMLx58VthjPCPZy9JqO8Lia9uKSNlD/D7vV2gPabL5XeeDvY
bc4FSeWi+hb6ZDuIYMktdlMtqSPC/emmbUV8N0qzPLOXztO3I+ZxgZQooG9clG50+otGHebmYF8i
Kp98muTQ7oXdebx+A3QjRoLWgTaMOD8+XuGCquExG2d7rytRfy2hwUMh8e4Mt2vPdThdGJIlmKkT
ggzts6UW+S1gyt53WkLjye31b5aTzg84dbhYrCaiPTcN7QYlzyQsBzaM7WT6J6QhyltHLPB1BrUO
U9B516oxGI9OvdAoL9TS2IO5sORRm7oBIgYeOTiu02v4kQAnu6MnFF9JkkiMcaAJPoImFNcJLhIT
LFrN+aSaaRKMZdpxcMWN9YBbyq7uWtwXHD2BPphNWQAqUULVVzL4D45Lk3opjXpDMXEcMGzMbHy1
sFm4RPEl4cQs8pupR+9dXWqAt3U8k4sC0Ca1r8yE/lQeIVM/DnodmC3eDamualBFHXLfGB4ONfaK
vmdc4++SxNNCv7rAAD3OevNOj4T3UsJyirYURPoLNZqtT0A1cbxbVPUa38bi05J4xhFSu/kiO0+7
KamBXEyi0H0tmR00LkRvBJNTOT9alcehk9CM1/Ng6aGN4d5FrgnlKcVUqoVUrziXIFtnlP6n8cBZ
ZBQcdPOwdUDu3ExQbzeqO1lnKWvla93aHQxvqMcBj4owTDKkZYZgcWMc1LEZAhN1hA2dwnEjdOeL
avfuDjPIiWg6TXr+yJgOAQa8RqBo+O3pNlwM0F/NPlMsGYjR7r/acojPNW7LzdQa7mUFR0puNPoE
lxouo0d0SOSNQ30DsxoFtzcsj3q/jkDbmHFf3iqeJsIpVdFx6dJ0OPR6rlz3mptRONCN5jsAlHqP
49z8HCEidtFiXGv6DQWAi7yyqot+ruR29ezMfK90YdEWUd/fjxgd4ggCzuIgE1E8RgDFfKvX8gZd
BMfazchH32JkqqK+gT7VoCV56Cp2d8nR05ypTTEhRiDgPnpVJpSAIvDifPXmXrMPXWK7L4kzcMEn
kXopbYdZLfMCnyhE6Kugx1L1BbvXYYdRdxN4mBJcYlqvXOCi0/kqmi/YkHtV9a0ciunBZFPvkoRL
zc9oZD7j8B1Rul8uhsYu91OJg4DU/BKnOCR7SwHPeDSPrapfeTm2fo3EADOJxDHXTOPB8Uaa1YNw
tUckc8EncAs/qVOjfsF5XQ8XMqp7Tr32Mk8j99C48XKtt2SaSTI3vuaU95qdXbbQugMxedZZY6n5
Rdk1/Vakxr6olE+pC1S1X4sE2yKpjmTnBO62djGgnhJM+tBvzdhEWW5gPoPMjsSZmtjlLnbadudY
VYG56KReCElhTbRlTUHMtQ/sYRVMlp7sM7WzjynqNX5OWeQR5THNx8bHDCtbm8+pYtfHUXUBqcEn
201CwZAQffttROvlU5rZXsg15fmzbSzX1IXmqybzksdS4nPsjbL6pGXLqntRiJ2GufW2rLQ5kHaU
b4csso9zVo9XFB7TS8vFGVSzhy37rBv8LMFpQDPuUkMLW8KD2YUv21XJRd1XR7dMwjRftlbUBqN0
9xW1qkQdN2P3uTG+a5RWrhq6CssGGcEJ2bmilljO2gOFKURMbjQ1jx8BU+9mZxaB1NDVh5D4jLGx
vEQchXBHW8YEvrlTKyiQnZsR+j4XMIGjKejoaEJ4L757Tut9N6IBA0Szbxc0wHv+Qtypl71Xp4jx
6BaWEE5/rjeCfTm03V0hGjOQbpzkoIASeyVTRcnLODbLobTwyYgRrWPXzzhXQu17rKElr1oCOMXo
g9zGagbyI5sSinZ4JmyAxGghjsnKF3UtNrUGMjKRKGSolamK5wjiHaOY9OvYSbf1KgeKEwytUtx9
nnCB7UMF89ZNA/v2SIAqP8tBHbcdXrE+yghWGKdD9a1XnQjli365xLHLxnQZJqSGzC48cWEESWUN
gYKVKGFcKryLLl/ibY/B7A3YSqLXMcvxj/LSo6nEAn9k3bv1xnnedSzXA61AwkIgAykc/KPdUVuy
49wOIKrbO3s2lKMKcpY/gnMKwhMyQIZID9JV54fkGz7D6Glnba090VW8K5z4UYnnJWi8Nc5sch2N
KOXMGKS90ez5JjJk67ecKpupQ8EoStCnQnJwvkVIK8b6KksC6EpKKMc635ZK87DIKgqKmC9aVRTl
ZEaZpEjH72BQk1C0aCalpsSThKIgnm0hxXhJpdqNOQzFFb7b9sZJowwZbvuSvYI7mjgYqYRdm4jY
71Hn3kCMBs1jpV8yDCU3phT6Nmv4002Bw4vbqM89rbAmLe/txrtC6KveU7HEOAvz4E0GvDdoVCSm
Ipxm+DUqKgWWcJhaHqN4JlfJ6uFZFVH9fdCGKdtgKaTtBZYjPta7s4/ATxaCbhJ4nZif+8arz+CT
l1sD4OLWQDkHUYmsuK3iePJnoeLXmfV3gxmnl0YJ9aitzZ2jIN9RzuXA78nBF6Zzni6RtRl77UlH
qWIDOD7jUK7uFxQLOlhYm8zWgxkLWXyJQAK0K7hHRBC6vQHxcNrr1COZN01HbB47mNsC5PK2tXB2
QseuQ8HRqo5zn3iH1CPbgt6s7XpDx6csKcwj5jzqNuurMZQgvP2xVzSWu8CUzcn7TzZ0o4NC9RhM
lNw1nUscngzXbuk84AmW+xaqmPgMR2icFdRPf1DGBTnDvekU492w7Fy10oImLsazxsn60Fg5fI19
nYlmDM2lm/YxxZB+SA+2ibFMSaHOduVWLX8obrxRh8t8mWg/x/jjVPCVP3lLlhxQH1QPcL3jcVNO
muCaJ7BDiMPVDz+7Q/8ppfxSStGRrKXA8P8vplzjxPHf//fLy68FlX/+0r+aZiZGHPRIQZHQYf8b
FflPScXAiIPqC3qUjg5DwVh52f8qqdh/wVKH4wjcBf6zDQ7qf0oq7l/UYVZ8CjkoqAe6an9SUoFX
+LqkQhUFnhySwKsPhEfX/KSZS5zspBUxLda3SffQaEX2ucOO/s5EhMpBcbRX+gMQwuihblT7W1yA
AS71lQRpNFF/FjdT/cNpKiyjiYXEVs0cjgKw4hCnOJ+cJKCCv5ibuVkITnLDA903TrqLSM+QXxOC
DGaQgFedgG906ZepquPVeRwNoY0quhotgAh77EClbvhcAkV+FqS6nj9yVwGiQsUJYPR6XQZAbjsZ
REZeXMoaW3vO+LQ00VMi8guaTJmbjVsLipZqlmjEsUTn93ljEflhstp6vjQW6x59P+qlTq5a6oYy
uXprYGCtYbHTVOdpjrzuJeBkfEKcKdU/qzFZ/B7aKOIomD4X13ORym4rIqwDEYSZ9H2LxA++4Wpa
0LevYApeurJvP6mQvReEUCb9q+eWHhovTYstd2NMQVQuAHgJTcVlj9W1+clAE3zZtaWaq3Rf3Aik
q+IaW2TOcvtgr8AdXa3lc6m3CBYsVWtfAHhIX7xWp3VkkLqMgTnyZY6NqM37WuJ/HbSIv6Qbu+uF
DIgyB5RU0PlSfILNCdE5ukSmn3lNean2lWMHXhwVwVQtalhHYtY2orDN59QaEjyMDRSpNjL3ioX7
HWH8wNbWbCpa2knZ0GzTyPdMBNBqNFYw8jSoGwSyN7qbAXs9dVMsVIVXEu/gPjR1HJcMptc/mqpr
iSA7hbjXq1T7CepBPxz0WJbPZB4Dt2aXeodp1nDJGpc5erQVUIObUSFICwHMunBnxzlxuFBmkQUu
6SPLjgtC4utoJSYFuzrX/FRM0eMco4FHMCBi7D2LRrl3epHeRB1cOAwp8We8isVUo74jrCX1YU8I
x1d7jarUnCvmbvCi5qwiO1TCTkVWJsTTDNnDzHHy29k1aR1rMcT7s7l20SpqtJTmSW9kaXdoNaOO
whYd8DLoE1OeOSaxIEXwyfmCq+GSwOJcHCOwmxHBKjMu2slXCxWpuZq2xCO+j/IRl2vjWknQQ6Pp
vaJNRyH6i8xKoyfHreYfEJc9ywfzVTqhF0WG5TdaRmkSv1QURS2vF/d8pJLSJ13hHjbwPNqh5rZF
s6VNHn9WCqXjl2nN3hfkvBMuZXnxyUDxsg2ofnjfFYMm4XbsxHgd0X3l/3FjwHJwENbWLiI126hI
s1zj2bd6lmuec22U6fRUsXGtzYDMGIBoozOM/8femexWjqRZ+lUKvWeAk3EAuntxyXuvZtcslzaE
XJJznmkkje/Uu36DerH6yIisdFdkhXf0roEGcpEBd9dwSRrNzv+dc07r2p4G4kzYM++xsii5ExD0
GN5sNyaXoIBn1fo893aTnikyvrpMmogFFTlE6IvG9ZTO7ltfJfObVXbREMacwt5aaMgnpp2P+szL
mm5BghmxGtj9rdl3043RoR6gTWWGOObAAuQNGtrIgdv3ETI68pdRgztT1OiuE4VbacWpMeysWd3M
/uh+7y3KcTlxVe63alwbPJaas2vInoZ9cWGVZJsYaE9IGdsYnVdxaa3ZbsM5xfIM2qOKoxJFWaJj
AL/O4v2uLEiDXCf0WryQ9Veuc/s2s02XreQ6zudkw2jfWKf8I4snUxm7yq87i2L4vSWK8SG2Z5/V
dQMF8jnyY6I7V4DAR5PVV6aACmfjKtlAA5YcenqLmkuIO0i2JEGuXEK1IQr+hivoNU9EtUEMxdwC
NCgCnQg4WzkHR7Ot77ZsgR/SDYRIaUq8idNIFmGtz8MUTrqVf5jQCe+aEyON1YWFMEIfN62IYs6c
R1fFqXuIJrNZU0qJ+AmSkWHXkbfp4oXUw7boKKSsn/azPrMxHcuG3BHC6sgzZWR/bhVUlQU2caXW
rraLbKa7uGrEjnwopkrkc7dfZ7s9j2b4k0sZY+PcxyO4+Q6Iaq15BwEmULGhFZJm5kjdTzTYtad2
TF5ol0QFTZFYsZ/GtsSiYmFfqc6Q5p1DRrOnOBRxLh4oRzWIl9VlpHEnR/MJmjoVyInfmB/MobUr
3isOF4EcVHmStM10IvQoZiSNV4EnmRM3FcSFKO9Er7sfndIiBcs1RQ9kKzoJwjbCz4GPXnb7gTrT
/iCKpD3h9vG6w9joVOllSo+WoMsi3k4Jrtr9WGQt3CCX9WZahuZWzPNchoXbTvcDS+ijuVhE1yWZ
MTx3TpyetXImrsohEU+EBRrrgz82Hm8sIyI7ImcYPe4wsBiXcV7hi+h1mb669hI9NIWiknYhZPDN
aouu3flZYt9Fuc3nRjDZ+GrGSntnoi/q3/G+v7X7/NJ8VHdD9/ExXL42/339p291w4IMFLmNmP75
X1/Gj26Q3ce/8Rf7fztwwnwd0rr6/G9++hL9/9z+OP6o1xHaT/+xr4Z0UDeSi3H70cvi92/3x9/8
P/3DP7aZ96r5+B//7fWdHt2QutrPtfbEh6wZEH+xA01f5b//rx/3n3/8kz/2n7b+G6MbnHKmx0YE
2Aqu9R/Q1rbJhNeien21pPxYBAe0ZdMOsY70kDixTf1z+2nov608JcH/YIj8Cczy35joOTa73B8n
enSC6S6Yq2u4G6r52dlMeqvmO3TZ09CZpMYp8zDvaulLkuIac9BPYnSjnOZdYT+UfkqNamQ30D0C
yoJcExU5D4Nl9wYSuOZmoC2tVhw0tjRfmEYKJ9ChU94jd+YNV0ak6QbFICL7wBbG/NAq8vdPUuLN
mKIMXqYFyhL9jeFFThyOHIF55HlfG8RDR7oLNZAt3ys999bT73LfiRYYgkRWVe54ZyWkzsKVkIil
ON53vb3U5FNOhH6amTe0J5Kpktgr08tvKuXq3wyRrRGKTW1fleZAkkIepfxzCGTKx2uV2W+atvjv
g+s2MmB8UQHJ9Jp/T5vOsNzDQXdGkBexSZXTgoq/q7y4+spdRvU0h1unOEtG1yR2uEaw3ZdUsqlz
JmkRGbZDEz0vepKvmXMqJohUJM6HtkzJy+h4Q7Sf0QnMHSowG3FUmZQXHjjSk2I8Eu0JYmhzmkPh
KIKkHsQDgaDVtaVqWZyQErvYoZU2bB97OIjbYYC0IAjNRRzRcWNRMl8t+UfG9udOoI85AZ3YvHQi
XYO2n+Icwa/2CT3sppHUtt7LeIFGNlHhhLyZogh1rUCoaeZRfLFEO/LamaLhvSAwHnnYSnLUrKWe
75PU1tnNGohNVNvFpoEiopF6W7bC+pKhB0HFNZHJ7YK00e8IPorf69zGTEbvLRXqaQX8cGjMhbg4
CxLswklbPTmRom67o60x/2UgolHdUuAruXU8RX4YIBUpa6K3yquOOUd8xXkk649e5CE6DkxHTsCL
vBvTbkgD9yfrfdJ1NpzMgaMXfyRHLdQqkMNM8xydCL66kIEGAngn6jlWAfq5YP6pt+aNUfegijTX
fNAxX1UHL1GaR8lWOx550TdHh23lTTMu+ZfWkuWDQhJE7CnZR46mmb8tVJLATXX2xCa6/woH2MxI
vI1rHMrcNB6UaiUqbJ5Od5NvwIkRZlJcmAPDCNBF0/uC4Cv72x7viXnCfUDfsDd1i3uK/1LnpWJy
iXYy9WMNv4TC9qiXgijxpPSo66gV1lnsrD4bbq2aqZuqpiH5UnkWZSwVgX9mUDMcAAfZ8BaVpAVZ
vyv1MlIH4F7iX72gD5XptnTAY0hF0O6gxpI+SDeABnW+f3Vw5n5JrS6Xe7WyNrWxJrHE3krgbDBO
nK5gTr5BOuMG7FBBCbxjbyCPHs9ENy0b4FNssE+7cj8x85P+mP+OA1lzYgT24D1PKy1UrNwQQSEg
RNGGE0l4opt5g4zaDTiSJJnSmayBIQ0bklSsdFK1gUrOBi11G8BEJbH16mgUnOyo05pO/Q12Sjfu
aaIVg0FLEl+rDYyCbuWSwEEBTOF3ZLfEodS6EGi66JEbXuW0fvtkbtAViygAVrXBWAwGAbOIPWfP
JFZey8Owifa1YVzJhnSJle4SG+hVbNBXVuoAYLJze7lntwYYNoOX6zf5Boyhj3r1iS2UuOTM3y77
JVb89drx5KOWK63fqyGPLxGdkYDrriqhA4oi21crqzZs2FrXM9Y+OivNxnwQsE1tjBv5OSY6aLF8
zVYGruiKkjDY38m4FZJzN2CuaxJ1kTCXtA52D1FX445qd+bK2dkbcic5AuvEyq8oXrZSeaqIo/O+
Mbp7Pdayu6yg12U3byifqCOwvmoj/PwS2G/ZwD9RufNNnGjggIRXy0tr9JqGIR68YO1NoIOZXrXZ
sd+QwjFL/RdnAw2XDTosNgDRTqz+ZMia1g1FPc13YuShoVDeBglJUhc12TSUzvjWb/MgA2Tr7iTR
FUdhcpkxjjo8GsCNrdoPa0A4efUAL7Y3hcaWHR57mp3vCR+zhtAUuU4av7KmfreUMr3M7DziCC0X
owv5yYevw5gyuolRp17U0Nn4otekct2LimvXUdkY6tEYm9RQEGWuG/OZVi2rykooMVXl7D/jUEAR
8uKCASAImUaJr9IpyUTf4tFpLyYqHcuKv6apu+l1LN20g0bt5NlYSpfSymRdthHtqfdYpOJwTIQB
DQo0CNFRPy4Rcu8oWD5ggmvxzP3vF2cZBOONzJj27gbgBN7TaaRYpGbFKCCjbykQLS3NRyossiQY
t/D3pXc5aw2JMeW0m5If6EwcEfdsinmAmsQSH/Sg9ua+cWamVXrlljGKD8nympTjc+5XINdkq/Nh
1W1dFAdTFnVxJD46uexjueYHM0J9supSlzuOGVwptWXXc+Zt83BuqAfnwSVAzPTAMAOiQpmWNnJy
cxjYCXOG202GAXRYjst+zeYZAm+dXO/JbV/uAch5cfqcZmnsJjD1kcvIjMfNfeOJ7tzBC7suT5nW
5rrzAZWJt9tN7l0an19Y+gnjL+1UvnVbRL/nFf09xAqScMs0FuVlC/SHPiLcP5dme47DM7OYsazx
/8VWBQAS7t8bk0tBgLGVBWSrbhnEa4cAeUHUCfRbs4DONCbAzuHdpHU9tXvyvNkIyd8rCYSV8g5n
Xv5E2DxrDTEfAN6gPGIIqqbj3aaSWWm7ejB0+tm38gOLhNvnWuk2odxbPQKxvH0b1lNMbYLfNxMj
2iKqfVCWMutDb6tZEH2D4J5t9QuTw2cZoOVl17ofd4fYYYUPx3lrbKBiFEhZahlzDzGyyJBAO4rQ
Xsse+sgkKdvjY51DjrfsC4hLGp6StSRiTKL6utiaI2Yh9fseJHkOHI5xTdg6rbwCG1FroAgTXd6r
w3AO7gSUKUSsnxLiD3NjaM4YzmtzRZxMdR0kVIE2EPQt5Raz3bNEEioz3TS5ziyVzIbOO3e6xh+C
3qvRZdiesZ/y1uYMseC3AEZdCzX4mZqF92+9DJwFjfGmIm9QCxr2tTFVHItz5s1dUwAnrWUdhT7J
KJQxHR4mh2M/MMyJqM3OoeVjMWoiaq10bATYUdrOe33tBJlkXl3kMws+r5cmO8v5jiuI0uf+jjL4
4mXRWGzZWSnO5ihx5NdvFSRNyYq0I1td/6Y01ygDufaVJGNMPkI7dM1tD58f79HSmDxZDE4EnDSd
J5WuMhpGZlhZxDyPoZjXq+lCxx+ODNfW5lGXa3uKmbsZM0mTTphgqD16oxdobGayzpK/WSwpr+U4
jvbRInWe/D6vmby9htTGbbKWt1RlJjAyJejwIW+39nLYml66rfWlWwtgiOukCybq1l4YPFGA5MnW
F4PB1j7OW4tMsjXKCGNtl4HFZ3OcJaI9zbf+GQ1H9anWjROtNHReVryHKKsZ00HqB0vAUZGaaK5V
P3CvQU0NDNMdDBEvRGxTe4OfayxAp6NyCFLoDvNIZgZ4hUOM/8BPvFCf465RuZARxvfeMdnjO3NE
kiyPaRztie22GZkl0WDvvGil+md3bE24dR8cY4zTaW9x6/D8o3LQy+JJiXBMgNY3F39KHErCkHtY
RKP8JtDpmp1uZ+ZDDTQP5uJOrr0baGti52eXFj8J2ld7ZnDrdUFSadgg6rJdJ+u275NdouEQLiY2
KCwiVP1x/RweLi0BCwINiLujGQ+us6trz9bCjFwS3ohp61g30qkVF5MJHNN5WWHDMPUjW80hO/z/
udZnVYG8lb8UFXavSfppprX+g3+MtNzfLLzsZJExuiIxw2Ng9E9JQTDTwt1Jqh3xNWuW7j9GWt5v
AmlC6Aa7Jbz9+prv9J+UMDMthlpswRl4Ydwh8fdvaAqrFfcHRlgQpodZgaZJbOcES5grQ/xD8gJI
3+wn1AEgq5FUtcyN94AWySTdzpK7H8SW69+/6I9liJ8cir9/K7zNTOHAkckj+flbWZGb5hWW5p1D
aQJ7oNQOZaEZf88HuX0Xk5iv9ZcxcYt/8n4uNedOs6KNnughei2surmwKBr5Rfjb5xzo378N1C2o
Noy1Iz59bibgLVlsGmLfKLqTbMaPMqSuvBIyFseEmIR9FjOWGzyzYeQz4NwYpYQfztBPctX+ylj7
ry4jE1MSbX+39K3C0Q+XMfUqcxhqhWNOzSBx9mqp093qwDAt+0W33RaT8fmWgcUxuXEIgsQ5/PP3
sumoyFZLBaJody9z1u+6to4LJjEnFSei7l5kOr1IIzpN7egOQOXrTJoh6ucehvu0tbNfpVN89vuu
F8PRCZXjOTMxZn+OnnWI1c5tj04Onf4J66Os+jk/y5JWEsWfJT18UdtW+SFPl9K8NWYzfaMIXqv3
SBeGuf/bd7lDXywzbKzOPL+frkRLFWWi1hsjGRztNOeSXWAMlr94lv7F9f7pu7A+/Hi9MdCYMssi
UGjP7LDJ1HUYkywatgldMf83vxAAH+ZOAiU+X+6OUP6oKnig5BInB9OfNdSe+lfB6v9icWCyooO/
sg0hn+WTV8GPGdstGaeYpM6yl4m54BX7Iuf2r3+X9at8unWxR1O5TnKeIBTwU7gISZ5xM67wXp6C
rCPMJewI1w1VDBpyodNGdGHKpjmzxmx8+PvfGmxAx42BWIcV/OcrhhWwMqbSJ/QfbetyNsT0OseG
dgo1JK5LzR/2pes41/Se/yrz+s8frYfAxLNhMPtBi/60VCHqOkLrMkVyqt1eZnlVn1Cu96sYrz9/
tOjc66XTPeoQN+vyj3dkorejozcYDaTZ3OqOeB1t737dSTMsRnqJhxPX7n6Rl7qu5T9fTuyrpknB
LpE0K5bx82c6JvoUtwPjKD+aCdv3DDn0l36zkBHVUPniwEQVzMoML5Uuw96c0xokgJ89/vWlZSzw
px9jTUnC0cMLgXC4n38MEloTn7JZwvcdfgprjnATNkm7L5jVo3x1vwqi+JTnx3JHHb1vM4agosEk
1/Ln76eMJbJjTk4wDkkSmHOZPRVxHB2UoL0JaaQ5wdjgn/z1L/nnFWfNnMM8SCIUd9Hn8KRksbN+
iYgKA8TUOCjWWpjbvX9oMiV/seL8q8+TY73HrAOvO1b5n38/a5ILpUSQY/Ni5TL0Eru6ZaqQ63tI
xqo8gLMazi9+vT89JOzP6GbgdQb0Qyrk54eEKhvy8Kg4FLOPS6/z2n2TO78KRvl85XhhcsW4ZnyC
pud8zr/1zMIo9YaoThlF+i1jcbrGYnmqLBfwFq3tdqx/lUSFiv7p9ly/KXcLqVpsFln4Pn2cxqhK
ZVt0WJoT7uIzjC9424NuZMH4KGH+p6uBGd4MZe01hES2Q9FGp+RjFv59FqmyvOyzPjNuiVbJ9TAG
NN6sr8lwVyQDh+tZlThYFHJH9ewhpKFH+UjJ2skM/Tyd1+YcESVbSHd6oeeb5NLdIO18uQb8dVYc
noFJ+6H1vuotINu+8S/9eoBC7AjKMM7yeLA4gjujbiFJx3pfHXpOUEyDQWlb83y0/aq9NF0w08uk
rstmL0sm3AH4Cb9kai15c1LL1d5VeEkVoIMJzlaDqZmwri0fSkXuJ7u4zpyGaybQrXpuEupfznI/
tYc97Q6RuqBpSMZ31thj76cpCYbVlK1mUaaVEGArYi1pgj6Pp1fhI10F+oqigG+ZyzP4BvBzNSW2
2nuubKt9C8aj7wErgYVKL46qDsaiWR6lyWLGkXAE0/RTV6NztUlb62RBKn8UXbFMR3PiALuTdKV/
8zWnwcJBBc6XmsQ74him1r0YlnRmFE26SRwsmia9c39ZkpclFa6+9/Ab2QFVJSK/NZkfDd/YBPU0
OGVyTqZbo85zv923qpACm3drK/Vc2aVDbrqf5lGDOUMmp9ZszfJqmrCY71Sl2uexaygz4wxavkx4
597zhGSHXYL0b4QYpMEYsA7JN0brEJ8aDrecBIglts8XvCzdLitscTULr2dKaTHy0ciBW9Z+Sru5
TCIqRbE9K+1QZRY+NsTbSsPsZIBVz17nxvi3Ned702O83SXSIJyfwnX5qs+df2cb2B2B6IGrw0SU
hBb2k836yPCNvuB6KhacX3qZHd0KMIY3SBa9pXOPjYx8IleGZdNFL1k7WMtZ0UfDAx+kBQHdpbkR
RmOjPU4cZ+6KwU65XqVtPQFD4PWRKsU6kzLDemyjaKiDWZf5YwxUnhyWpSIkejCRES6wY01XesmS
DZA8ukf6mxh/xqVRPDiJGItgoMbxKhKdT58MGCUtB1BS+r6vnI7tS64l9X7oNXoJrSlWd3ROUtNm
NvFwT8ED4QNU+80RqH23PLWpW3/UYz+WIW8Wp97PwHIgr76wHqcmH6D3Kr08Zbomxh1Oaj7GzF/8
y6btrDJwGm7qXWHMFauWnrpny9go6lpJ96BQqehZoA1OYUg5QkeT8I2Zu3F1hXYnteGxnjRNLfBy
EJWgdnaR+++eRrleKBPLaPYVjnRactbUWzIIlH2ZIez4ey2lPJdBdlsvO7uEOwxh09pnS2v9r57W
Fd1eK7t02k29ZXR7ptxuFVDTsqqZliof+nRBnI57oQ87ErrbDu+koAXed1BieYCQAzmZpZO9yypv
mg40Fc7JTqe1llYC4BzGW8wm60tDk/MjoF71pcRpyvuIFinUaNeSBe6BcrB2cxKhBDZehcFFyWV6
j1uDxkARWdlu4scCJcya/rHk5jGOWq+4z1NjXOjCNbPyRNXAm3vcWeI7NhpG6INHdyxexpZUidIn
DowthVXhX0obbnGHkRSQFENaZDF/ScobVadi2Bm9MWbhFJmkGWEyBKBJKmcc9oqUjBIb12AQMGCh
m+8h+8Ur3VVpcqoTijQHnN7mx3asUUalOeJlSYxxvCz8CXcJqrhog4aB9CMgvPZkDlWO7YWxWBzO
i0xH7m0fR6PKsMoE1D8vIPdMS67NaLQZeEgdwTB1iheN3P4LFeGAClptjHVmF0ntIZMxfp6QKT+m
sfcup77EPa/4TMKyFFybmpBUCPoUkXtklzzvKwaoV570KNfSM4uuMOJOYFR7gmy+8mlQ2+KmDndC
MeleE9YZNtlwTbJvcYLEktGIH+k+Ln3eFaiSZV/sPaVGRHWzgiZQKqO+UdMiEZ/46yS65wnsacal
T/LKz4byyt7G1o7r1xbDiE7cYl5isG2LiiF3JOOmO7aLppITPdKH5qJdZ+KOaK3iQPcgo/K6KJHH
+3WCLv3Z7HdtXDFY9/psHeAPa56w4XaGAZ8w84Ij0iWiqplV9B43WTodhK+SZEe+xfCeWYLO5Hod
7lO6hwBfbzN/qRdaGqI5rP1jGxdQ60PClKmWPvXFEnLAswQOXmdaiYJ8hQsMM8s/jI04qDf6QG4k
ApF66pZCTPiEyXKVHdobt4DoXV2nK8zALV9T2LkxDi1ZBNGex657MjcKgkBKiAj1Ox2xkRKxDjSR
ZAprt2tojBaGAT+vtLvECOF4hTofGdaL/dB0oBhDZNrFmfQVOTi8JauvZueQqpptEMeyAR31Bneo
lfNgLSrBAxxK7IJoJUHiQbfekAzAQzz24/mK6kFXdgBEV+wdgEk6s9e/gVbnN9z21GUTKdO3Jwhh
rMJaNaj6pMM/KRHTM+4NUnCTW2wr4Cv9hrKYaAn3nQ+Ehgy0fE/t9Qla4j4xjp2pCKJLsGXFIT9Q
f8PsG1zGEa5JFWLtgNEMK1GDk8e3D5CMNN5SWAl0k0NvvHsbihMXUDmmLKPiMFoVsE6/gTuuMcPw
lA04j1zNRmQ0zxPsuN7bD3HHFjmoVw5onJu4Dnn1eVeY3GPjNIZMyQjiQQd2NkV4E4c5WgCAbpJx
vsnHzSYlW5usTBMXy7m9yc3jJj3nmwztRAnth/mqTuM4ocm7Fqo6w7mzpvhsUra3ydrpJnHLTe5W
m/TdbDJ4r0/mg7OJ482qk2Ohz5ggtzEfl93k5eNS1eQiNyOlfPtWx7rDctBSIJhQH998KZG1THxY
sHmhpfd5+8rXKue939lOGgp9Hgld0WOjPHSd4fMlq6L6NmsmsrzbWwJLUy0nI5Q6mcFALmTZDk9L
p/iIItrjjpOTyNd2ctW9kqtpt6Pumb7GTvrxZbsk1XQcLZxO561garCnpjd2znQEpXdmDXYSdPai
P/sYZxmrxLUKRi2y9SATBkPfhUsNp+8xiO/nMiajIHebc1lXzne/5lB1YhAYlIbkLGF97POeAx1+
/OVr3VjWxeyI5rpuXBJ4mmYm7wiWsaATc6TfPZymvNnrJUhmWFll0ux7fuwXQmh883xIhvScsvXu
PJ1Llm+38HB98k422DNGg/eFQ/sUmH5vnpBsAq0/W5X5kHZxzvC/c9Ovmd1MN7XDAoZSMupvC2Uv
TLK00XtdDJWwp+hz69FTSNthP8zjFDq6CXdqYDa7sWRUTaRSTe65M8bJfV+xY96pdunOgYSwF2rN
0u+XcQJVTsnEwwBND7MZRLzFTvGuxXcpLtWPCFvFbTIW7g1lwsZd542MgabJpkMznUeuTzW4X6My
ts6q0Rg+sqJmODNMmc3GhSioK43QP3tndgJYBYdhct8m/viIG7d6ScEzhsNaCMCkKqaGk2Ukdi75
HdIXqWb7yZ01IPRWnxbz6JiEFh2V79V3qp1Sb+VCWvLzcQpAlMeMcTwm4GG/NJ6Gew+LPGZj8TIx
cv5AdapfTaf1xBeDn5/VMtLqIsRT25+mBEJNZ3M5DzcjC10VREmTvAjcU7hASjO9XdhgMOgqU175
QlP3tqfH/FGmTDjrhkpJftsBM3PKliO+mkx9xIKXJQo5oNUFxiiQDqZGgC0YeycOJaFWatO9b3fz
1aQMUk5L2+QoY1c+5xF2Y+5Nn+LQIGo10psgzmFC1to9JoiZQ5DC3sojWjajaATprnOIebKe2sjk
72vtt7SYem038Ddfqfu0znu/Sz+ycVR+qM0JQ+R+WuhtF1VC0QJFEoQKOL7Z3dW8AoudIaz+vaTl
90lqPWcLh5xgvsTQ2keOPxqoF2L37SBI/A9KOZnk7uTVBB6Y+QxJZazrt2k62ktguVmDHWHUbTwN
dVIQNTlm9Z5uctpLvahm55T2vQ0LgX/sjrbG/Na2kvmj7U3v0irLzIWYacfHskllFOhJVd7KvOOz
koUfr8NH0wU51jyP8A+fO0vXEH2I76FimA0YczdN2tQjyzFls2Ow04RSNJP2otTd4mkgV4W5otWX
34zVLLAru859tVSir06GmCtad7UFe2hQsJSwzXHDKS8MNodSYE/QdAGV3Daz6MOhaS1kPZE94spg
EQTyaFwSldJpOHB3V1cjcWlUczNyskOy0dRx9qKIKlyIiLuCp/mMnRqFxJrp8ON27AHicBKqoA2j
4HNtejnexh6F9Ic5z3tMEWnqXHJuTd46p+ufxn4NUM7HqCI3ym6blgY9c+Q1qxXc5Fg4OnwqWvGi
/Hxh95K6BKEtGPHfixF3c0DQW5GxV+9IoUnWSvN9aRfxfNZlxPPv07iu39pO2JAHhQEYWDoWv34b
R+NN3qqKanBj3YnqDGNech7HdJ9WjvrGV15erazo/B2FwaTDT3pBDFvWaH1xpPM4rwPah7z4Swqa
yEbKHEhwBbXpiBgsnfS+8TiDhnNcdsQI2Cln9EGt+fmCAzB7Bab0BzEydz5MeTy6UE+De2Yjd4wX
ztxGnEZLwC1WcdsxTjLNJegutn2qmIfZfdeI8esw2Oj5jUPyDae+ubKevd7UvJPWbt0x6JcEXlNg
0T5Tben4OysvKRuuQBriQCumMj8DrhIusT3Sc/ZEpsQPcd/MOCVGfBlekkujOwytzFLqdxdl4eKd
U8VjP2Q9lg3qepuYZIHMe8Yj6z2RJNN9tbq6uDVku+QBwjjnpFymhD9SD59MQZL67ftkTuwG046E
uiBZKscLKsXWf3VOER6rsso660YPW4KA51O72tcdtuFzB0079VMP5eKPt9Tea7f+kDKJ7/qeY1fS
+81XR9nqQ2hgrxyyJvPJImoAAtZ2i2spU9Ht40ph2529eBR74tfqj2pJbWiDFqVoGBfAqcJR45fc
MCZy2DiVUYS9LNrV0BBwQZIyWQMmZ6x5J4iegXBE0qkOPD4Zb6221ypyyGyqletZs+Oj4y862RhY
Y03aTc2EAi7NjJ+wBhKmtDCCg5VGu1Ikreg+wgLvbCPgILnuIO1IE3Qz04l74D3nzDtQBrM8GjTL
vCu6rjkXDi5MXdebdI+nY/ZNgPBlHEssMG7yL9J+lzjRq0Zh98MUcU26maPRThk1EWvjOMENLQcI
1qnALTgBDxEs6XenTtxhn1JoORLBKxnPITkJ8eUg1b3hoY9eLZEtNzzQJuXxVudAoHgwje7Y+c+Y
VzqF9mT2QNpw4t91pndP+EmAtofUisiGqEnuKeg54O1dekaIB1Gy+R8m3m4RqndoO353qToes1Xf
4djvCb16LP1iep4J9Oh2dj8QOhJN1Qh4Uw3LaZPU5WvB/uQ6x4WDZkSpl02GhWldeVGat4RlzlaE
baMamsMAMEwaZ57FQDm8iy/sYZRxFZgJ86TsMJVERm16999yTVwyCKz7+vvw2f3wk3/i/13HBH1N
jE3Qi/9rz8RtXb3/+/+ufkYc/vPf/UE5CP+3NXR4bXBh/Mz/RV3/g3IgJo25EJ4JXVC4sPaC/pNy
cH8jGo1iWbwR68SUNLQfKAfrN/5sdVUIMtEg+Y2/QzkYrvnJuUsXHMgEI0bWDf5nfR7SeMPYVYtl
5uHQTu8F6/vpEg/dfkqtjKBRdzZAobCRnThLc24XprUvR4PoLKHLoKKh5DkX5XhRjzIlacidiUG0
k/E0rhJxpnfrO2Vu3yEipYcycOoXc3nMffWlQFc6T5qsPKpIvoolvooBtAb3Ec1yhy/w2mH3VyNC
+jxYI1xuOylOBxNmOf9JXwx3x6bqqVfZhWiSt9k9kWwsk8W6pirnRA7iBmpjT6dZ4EnozOXKmMyv
qZfuRZsf29w7I6bpbVAkEkTyEjvVDv6Z0VR/bc7zGpCLkz7ApLFb7IUwnOwMhDzs7G+gUMcMyFJU
3hr3weay6Y9EiOwHEs7TjLm+ieAzmI7/Cus3giZqOq/Z6CjbNzNeHjNe5iHb/6+E9hin7bA8LXpZ
HNKuJY5tPI7rsHqMx5BAl+6UyvP8OMZqr/fuxZx0Z3hl70jTuS5TZ63eMe9cDc+ww5GsN7LAInfC
ifkRpssc9NQhrIuQVWHLA3DYKSttyPw2bJwHVQK3EZ2lXcAUh61dHwcWRtdYd4s31hg9E9qMQZUD
VzPC+MvxgRbrPsiiToWGhU/SiPE5q2W80ejPna6atkkRENqWddKnwL3iFsgfLSGe0bjIgF2MG4Iv
5hfI0i5opMItIC4Uyak7XD0s8ksyvRE/8ZqY5DC1sXg1dEeFlGabu9IwnGM7m+Aig5hDbygmIlvb
6hZ579aJD8I5zapphWHrszhK1s126XQXjVVOt/5oWfdtGuEa7Wb1FPeWOvHR0Ih3Ugf0zvlQ4FgP
oEkNRhdzRLNAdB45BbnBjpWeC4SDRp++Wq03XXV2n556iZuf6dWQhX3R3gPzkbvD357SlAThRScz
Zs73iWZ96cR80mEoZVB3YU5zt8PwTJBHHRVXZLqzj8+y05xcu73dGC+MZL83WlWdDRUWPlPlD0Jr
r+qIcR7s6OgelLbU9545B5E+I62zi+TQXB5qQk+DfCpPCQZcDqbW2Jf0/Owy4lmGNrtExA1g7jjT
CGKFp/jojexYW6QIl1OuHOwQS+lJP11oFYqzBddklP1w7eT5BxOAJ/ojUAikpkKy565UlgYcro+6
Nh5c623EMitcNHS9v7TMuj92RCkinNknwJx3QnmvPfu422rosAl9LNP43ClT21lJetr07fE/2DuP
JLmxbNtOpSaANGjgdh1wHR5asgOLIIPQWlwAc3qj+BP7C87KZ5GR+RhW/eplknSHQ11xzt5rt+7C
lbLwY/Xqwi+mHP+oxl34Y2Z/eRmxpqQAaronMoxVgxPAjwpXNOl3OY9peQ+3h6LV+MNCsB1QKnT1
Z7rrd6Pgwjhe1usspUXwxAdYeDlwQGYWsJrDjo+6S4OJGcQcDwCEt3tnYFdFlWU1V7uA9pqNLJ3H
o/eaqlgTHj4LSnw8LquCLgJQlLfZTe8gFaUIWvEbNeIZkpHK71Ctm1p1wfiUeuwRVllRtKQhLHrn
NLEExboDRsSK8mpj963cmZWd3+az/Y2B1LMpVwbBN+qwmyi1PbBt+yD43vWDB36t9WstQasNa5W5
3gQ6MrcIaev5UDnazshZi8Yqtdwu3MvgSpPPCavbYdA2alZd0JvMVnUifrQTHnt5CDKJFItkKvxS
q4i9pWq9AfC9RN267ZtsG7NlzUFNgfLZKFG/lbV6aLV6KwjfGvWZLcdVNpg+poeb2MEPnpbyQPNx
T6t0viuH+lSMr0ABLvJpuNRE+Txm+k2UzwcnPkcVHgtJtHeQ5D0Bx9CYHStGwxrfIhxmlHCUli1M
7Ph4fQEhyGwDyuc+KiuMzBpydae+cqviLk/EQXWBD8A9hDsD0qW+pioWegY4xDRzdqAHHwM52d4w
Je8xLZyOQsKe/vaDHrp3I0iwVNjVibx4tse6TAG9AQW2eiS3zswTmzsy2UVOdtPl9jWr2G3ddpjb
0+TKyMwLNO8Qgp7cOfA0pX0NR7mtrfkSMPd9WGoHwAYKVe/x3lEYy+yhvVVRu66ENrz1LSbwUPwc
2+CYp/Ml0OFbK6CNEExFQeCro20T5aAtvyADLJ30BC9Hjb5NMhomfPidcvWl1Cx6WQ5c0TGdfDuy
V60K6maMYp98+Hu2s4jlc3ZG26AajlZo8MANb/NUd8Q75NdY7Sbf4YXY6IX5VMQUy+zyASVJuXZN
F68fafZaemN18dbon2JGUa9Htbw3muZ6mvp9I5N1gNR2GN+FTGLqz+zt4+Siy13GAGTHaJEPVTQc
bGoeK/bIRxQxV3FCGS1gIR8b0jj2mLYqN7rp2ylcmXO1IPXei3beC6u2ToVSWTttsu4jDF19al0J
mrWQrsD62fQWNFUe6AAfOiECQlhzr9KrY1cHj0BrNtrk7EuoxPWMFXzJnNWcHYVksXaDoT1GKqOz
UsXjBWqObm135rMRVNaN23TswkTtmSLnPZ03eTiuszi4J5rqNpllfakT6wk5sKdVn2xVdXzTw/Zx
KILrKUi/pTzNxvAuROypLJj8sJ9OeruYAuLqkr51R7UnKCFA4COZ0A3uOLHcVxp2820cvbe6fMmc
ubnU89qhYdke0GLQ5pLGPswy8dhD3EFqD6XRjDdOiWQx1xXHG8qRoj2ChmwtO2grQiKiNgD5GfqJ
JulGdhg40cEZW7OonSNtkH1VspFpqv6pFvRR6M4h7Y4ISrxNyuAE3M/a1BUXcUxdd8Pjrq4Hhymk
NL/ztkAZybJLK++gxI32HnTksc+zzEf01O4xB4mn2HFeWyTjhVQqL1Xw62XGXd6nJ/Kcy1dqYu7J
olu47Jm3o6H6jWoMcJVyvJeMaTbOMSJW+oXk4eYX0nEVzym1n31IWSZTi7WL1g6brnFU5vQODopn
TMF4pRf1fZeDHRwzWpCd2w86EHoSR/p7fH2nBvAMW1nIRj0IkjA5DolrIEHQxAUMa3etkj3iS00h
M1uwggeDrQFjHB9CZwqu8Je8xkqf+DH0fLrDndy0YZQcQ6t01yZSIDqPgcEDw19QTxQrM62Xr2zc
7bnsj2QE00g94iUN+YSaBMt1ISEBdg3/1aAqkTOFxrS36ju1GcCA62N000IOu0BI0jzTVHJ//ePS
7cFu22NxSKfB3bqiFxcpwH726kllvKQuhO4WSf/6bHpFq/DDsMP1GMQsfk2WXFzFbEsHmmMvh3V7
fqML0+oiRfHmt03e7ac2MGCYNe8Sb2QKmoVvk1k03tf4nKHaarFzIk2h9hhFbkSqenGdH8IZp2ro
VJf9JHbdeN0E8yqNILnPINB8hWAZY2FtjdK0DwYefh+7FKNbDDFS05rrRskfIkc8KrKreVQoN+SN
Spsc+ZYv5vKbqpeQ3EieKam1lFO4ldBX1drY43tRfZpwcuNqmUqls7lT7PTKVaqDcPRtZS5Tvag1
H2vSZSWSzWw269iyNiMxEt4s0pdWVreKaQ34qTR5hMUeb1KYJTt6jiHGPv1uNo2bzGiStaOMd4kK
FDcicS0Pb+jqX9gE4PqiL4KjNbYzqyAx+zOwnu9q7vQ79mzfnGB0fCiR4ognuyDgCf6hYwfv6Exg
DiXjydHEoo7J+zsSlYZNxkJzmwP126souE7BnOV3tKzeeJKoPzvAbKWMLb8PbMmKKuxOpa71fkUy
5yGpmh2BcXD/CeWt1WAZd0NWBg55aoRy8bS4qQ8vMN7qbbSdQ+pmHb2UwWmd9VhbnW/FUJ9HVbF8
6HoZPEyyytxvTmK+JQVz/OiEswch+YdLH/kHWco0aow2uKTeI27wzM2Xbt1LWvIBd8IydmlUh16r
RZUf5RPdigbwhhVEnipNcZlZFo31Emcao6O8ArQMrjqPYw/EsonOS8+FX+ahcwEZ8JSFmrmLqdRf
E9jgbJRAyza/XlmUOLdpzpyDybDby87NtmHZ8Wc2L3moFuqu6XteD6Na3veGZxlu3QgfSbDuziCc
hLoNIbCFDL8xaYVcge5ZxAXz8vHMZuXZWu5Jnyc9WwcgrZATwhK/NIcmuy1zuvLnESIl05z3VWn3
6Sw5Wgv+0ieQkB/T5+66pLrWM6nE471JdkHqmWO59JtHxhZp6C+uInnJZ2XetU1b36VyMh/SWiAb
SwszPjqjaT6A1K0OyEvGXUFRlGtrVd5g8I2GldeHroyiW5lNhu/OVX3XOvQcVypL7cYz5RBcmcMc
PZmt5IUO6zp64jltnqWas4T5NZSlksKtSaztIUwN2uAqKhzfMGDZnoer0Om5Kr9+IpUMmmdl3zyn
ZdztE9GEP8I55DeBLDLWJHyzEshmalOtftYflKr50Dsd7ew87t3XMmEMowdsPqgx4yzZFAuoUuZ5
ZpB/sAyGVTu+ydoxvDIU2TbVIyz6bjlFN6oKgD2E9ndPojL/BS492J5HUTrk/GE28H2prPj3vz6l
1oywZQ0eldE6oepbOoNyRNbFeVp8TWp3fKKC6cPpspVqeOS5N8Vdkccly/FSfQHPWW5lpSkEXUPc
hCRU5Co7giTAKZ/z72VNBB0aKjzFq6HIRblpoBv5KKxltWvblPwIHTu4Z/aGfsFa2ERMVQpYVnQq
2dMzdumZcK/tSGMyJmdOWY/NCHMw4TodDSlaPGy9Mp8qglXvLKrNVCiwYPkzUpEdhdtIWzkhpCD0
Aeq3GSPXYRoMZY1Luj+oszGuE4STKIyC1LkpUSJAH4Wu9WxVMxI2yc6K9D6AX882BNFHJ0Ld00yx
wrheymVTPzvOvjGU+KpP1BJWfW10L+irKqqQRTcedAcZH690UuyQUjj9rZBmNG1z8gDvaxzefsg/
87UObzPMYkO8O8Yk37RuEgdUlZGH3fuFgsZ8HVO19Vsid3Iv49Y81fPQkKySOLcy0tXEQ1oWbZsy
CfdBqJsW8j/VOHa55p4qmlDxuoISbq1dmqnoa9wA7rFTKTv00MkFWqaGWJVaV/aIK43FXttY27zv
s0fabZoHALU/aW3l0jAIgy1BM1VHm73PatZ5Cjt6bZl/1BRSPbq/HR368UFLKvGGFp/1N85lcXCd
GB5El/aI19n/RPoGp3970GQjr3jpx7sAyffjAJ0K3aA+Uv5aQHNQxmH7I2GIvKopNfb8hXJAFVZa
i48+vJwpzx9KKk8H9JDuNc/cdJpGopo09vzIsKYcNHSgq0XuJ61K4SOO1ce+rC254vTkoUCvZq6H
pAluzB6kQjgMVK1QgAInzbMBZ8REy8I2x+rkDKm7cXqjallJa8mJjg9IAjhfcHlVah7ItYGdPvC/
IYy5zHjG4de0voEVGzlGC5LaADr4lGbCvufxtE+1U2LzBUm0BRnm3ORpUh+kqk13vSsmHZncUO0N
GVVPgV64j0o0iB9LcZLaYG3YyDUyLYIHi5USmWoQvRVJw3aDRlSNyqbJqvvKQLh3MKxaOfVunBOH
rbXtWzAW6cVEF8wbKCisSRIp31Aj1N48yfiUnen0dTjXxttAE+LQMZp5xtzoew1R8IbkYrFxW7s8
YXN33h0N8c4o2DqLqeAeFBKLUtKno2eqrrgNEBPv2jEUVxKMA2OmmRwM02UL6arBClatnqz0Ks9J
Z5COel3bS8dyQBK0Y2tAOIK0s0vKgis0D55KxMqFlYWvtPnHCx4ueyfSoMOs2Imtk5BmRNPULi/w
e3ZeSOggdlqDhdDkxB5C7fhYKmMDMU9TroOMHRHddXls0RCRlNPBJdN1lHSqdPd5/WSBcn3m0i+a
jTI7kUyKAX8GAAjSd1bWvZs5ByKktR2ttDddYa1TdbiyR23I9zLXEQJHo3MjzZiGY62anc8kVl0E
ETbTRpZyHTnI0jOrgCxFXNbdHEwsX7NgPNqOi+5QM3VfQyh7KyWt4B4CM9vHCdtBKQIqBKGl3qC5
GC6gy9DNKMM3mWTptRrr5GtYAQuRYTayyzgy2Qgs/UAvCIDCkFPDzWoamk8RA+iqm6kidPoUMEPp
im+lUtlls1KsVTUZdzXNtitLxrk/O8X8o24anRSlUB4sy9RJwuoVv9WFcopbrf0JJTCJYAaMJS9I
JZ9qOQO3oihtV0mCU3kpelbGFL66IPVO+ciYhcxIXFmBi6gwSPNmn+GfhnYddzsGBCSRedAbRzpy
cbXVbYbqY8nu9FvWOlnuoY2PryFS59UW8Wr0lqRufDThDfZ+EZFywGKGAo9Ja5M2dpYN7wTbRFcW
tqQCeWiSnp9Eczwwlhg7mATmrdDx7heaO9HoNSrhaxm0f8VVk2HViLG8KNzcxfnbCXefIjvPVuiB
rMe2c8x3tol6vE+Hsd9WOiEDoyrcQ6YDEPFEMpjjpnE14LaTXqnvvYjYGjM6T+WmY7SlcVa74zds
5+krgYsDg1zOBWom5jO4yMpwR9TYeBpqSz/Mcak8DCUtBaIUslsTBgRVpdymvpOOSXA5dEF9KaMg
XOsEM23VtB5AawPWz9a6mA2wnDIYv03RIF/QFOV3xeBQquc9vBMaUJkVVAfjMbKmMuX7VMtfciYp
uAm8cqsQJc0mF3V/oeixux7B1DQeCqbIom4TG9dt1ncuC86p/BYQeoIKR7VD2GVhguanQ8aTaC6+
0EkhBUW6s3s/TFTxCLyAgJqSKUcATXUFWDzaFYD+28zSjkUUIosQEiYKGg0kMkatbyqCSS4COAxo
rsQYEuFndfW9pN7mx+Dn2lWIdXsT9SjpIRwF067J1BCeGj7yq9GQI+GBKKdWSjqGd2UUpPfB1A0/
RsZlUNI4AdRVNQnU+VqpUH2bq7R4ZiDhh8zMJhAqwGFtyhAPwCrVynyAmZOOb5MMMyppfeF6I4KU
vT1nB97WKlqjqkJCH9n62Ph1X6k/WIg3u0XcsKmy2HTXdJtiNJshih3axKTtSS3QH2FnRKdhcBSU
A2N0IAVO3cF226u9ZUMDqcZii9Pd3PCQaQcz1Umm4b1qrkc6Z9uq6cJrjZ1STMmAXD+E1z1SGt3a
s+Q2dB+TPFQnxaVWYzrluKF837z1ShdekAvrvkdllFbeNLXWFQUT5s6hibVLNr8NZU1C6NjC9USH
eEVCldhLzSI+jtIQW/hz2VodgZFaQcWkWRHFxqoAxoPZFbdho9agKJG45hgyLD9PErleMq9uSxNk
itqNhP8AQDqigZ1WMjf8Lg/vGb9uOgWHqGJTQ4+t+WCniuFPCallemyHP9DePkz6hNo4VU80G2o/
xfFwQg1qvEiaGQQIkOTTdwFC3dq6lW20V6p6LUBuHQZGdMHEg5bmZlYnWOGzX+DqliPQvTK6oghC
zScl/GbU1nmT7mkmE3Fhm09RWW9nVb1vWyp6ePc3iZAvBJQcm6qGQrGEAwL6RNUQTUt5qzFXlUnF
LmmJVrApK+npvE0tNV7DmQR03iDpbUJhk4futJcW9luA3oKgILOLnxo3r79pFbhP6WJKa+0ggGgR
Ij0IjMbczYqdhJ6tDepPoU/VJU8toxR6yschCucHHezOoUeHWqKjc/qbxhiKOxcAxbouVHWVzqSV
lOZ8Pw/a0aGjgQJuYBumqSphOdI8osZ5nsl0BISqjICYegfd4JzobASTlOyNmXUrqlJ0oWrDxNJk
fkRsL5UWad90KkzagTUMkR2SYEHIVN02aor6Vim1/gft35JaOn0SXCPNtjR1l04DMCq2g8bRwS5z
qoywvYTMRBSJ6Q7OXTPY/TGNnJmVJtxRJ4uGTVvrmkcmoOXZBJUcgJVk28ms4o0wZ/tNgansQa3L
YIrpFugSNTk0kck6u1UF69/UfjLMSF9PA9FFWRHZG3PSkd3kdZfftFaiXZqV0q81varWuRTubprs
7kEJRmPTA2H9no95d8rrSVyNOiJxnpLonlTT4l0dDcqgbSrbU1YRC9mZMjlYbmld4J0CxUBlb9xm
gCNfVGKHgNpabJunqXG8CPvWOoloOTUJKZawObJNmAXhdaGMlAWrOVtrcZheD6UMvo9Gp1zTLzPW
pdTFTdJ0xnVKf5TGiVHtskCBiYxjYeHUpocgNl/KAr8qmCXwdKOM3pOwca/g4023QPh4kCDx6oR4
DoT7uVy5Edr0vpR0cJDLNnfhZCsrXgJ+UNk18I+m6kR85ZKm6oR+z3h2oUTnIpTZT77LBhRlCY2/
UhXNFfnFNNuaWeKmV81p9iDMzSWSba3ykqJC0gXSVdtHxNNtcNKmFw7RRgwoSzMAHZhPHEm1hvcz
Q9nPWLEAdTsJaluLZ145xije1rpdqGtYIfI4zaHc0/5svfPqFdnOvOvgdX1DQ1IyjDUYASEErfpq
GtG9JM09uSP1pnTDLVv05BhJ6dKPEsaW9k3Ps9sEQIqMQVvPSs8VKX3X6RwPPIF9QAWY3yjU3TZh
MzoPUzO7dBWicFNkZngx5jYydBGl6mZgJtzr+YjtqwuN8GmcEvfOJkodjl4fl5vScZKrsIriS9xM
EgczYZD7IiCk0fuvJOUzbkNTQbX/TpCybqv/9z9N3JX/untl/PtI8/z3Z/8tStHdP6DCg9ywdUR0
FgKk/xWlEMFM6LGNXgvsBu4kFDB/kjc0cpaJRuZT8Dwtmif8mD/JG7r2B+B5XRM26GXysRznP9Gk
6PqCAviLfRm3tGvbLvRQU9UtdfHBfoA2ZAjXh0BIGjL45xY17WQv1fiu3arkEzebWORVtapjVgoe
+/H5ItWM2qKinubVMt4UVIDtsCd7rRNGyF7JDtFkkfF1T+xzdFWyyAWJMA3mlRlpGWGuKl4uyhwI
JwBRRMQWz6zFVvyCaaFZZ5QCcrMsJtYESpM/u7zer11EvBV0OMOQ69ikdjsFahytJ0cxb9juDCGF
9zZ8Q3dO8lVRtTE9ymZgL6Krc/vUITcfj85cy4dWDZdaF2jjFusmpZIN7T6wYU6EhI2VYkmUUMZc
SIthVDIKKto879C4DwklvhAZ5dQrEK5nyKII98ecwuOpJxQkROhCL/pOn2fCz1YonLXkHrdbSDhx
1ziXhZhTtpnsrrpvvNTWe5mXSb5RzFKZ2XWgZoeypCtl0fhSGcW0TVR1gvom0+hFp9B/l0u+kXqE
YlDGRUqZI4MZm+Ocp9bdXAjGSTqLbIrpQxUU3BQK3qu4MxCkZ0rSrQJEUdvUrMs7lTiYZ4CLKiXB
KRMvth5ndC3BKbO5VKN8bU3NNKx6Mvs8k2Kn6S93MF5ZKHkpkCeI0zHZ9ea1SS3ptuuC+X0aUvtV
2Kn+ugCY5xVsiwixXAklCg8mpExUEgIrXGQ7wzcMziE86dhsI89VW7e7jyuLjnpNk+UqJCPgB2N9
gM6YOhKthE5nO1V3trQ8oOMAKckiQyVB4p3e0ZSWprsZo3Z4ifQK9SckRYpIuV7EN7GGUYJZUalh
3ymd8tgxZiNJIEIZxx7xVZdOA6ZkVTcajY+pcIqjng0OVsM6oNVf1J28TRAqJjs1N7RvpFJK0HdV
x0UIsf5hGih5OAjuqcrZqzodTWoUxJIYPIRSNwbMSG6DW1JEatWEiEoXlDCIeyJWkEFYKa2StohV
lSCnju4zmQ38iYHDZBuYPbqmMCzwnISOltT0MlEu42BdrEq1jdN2Nda9KpYGHuqHcEypEPRa45as
y2PrxTYLmhEJ/XaqB5GZga8qh6gKadiyIV4ZddfPbDVoc6ynUg4/JQV80J9zo1G4cPgWcEDWz6oV
mrNOSI1ibu2H7LWyoOOtEELyfIEX6a5LB230quojnUBydwS3y6IR12U2EBnsIK63V1xJ95I+CTNr
mMGSXIVkI/yAFF/GuGQK7c6pjfTObdXK75opeutaTM8XZimcR6roOi331JJwvsuufevrqnklKYrQ
vnBw7SeBYhfZGYpvnjWWQDqaEzyGvmUX8VvdqhnRQMinoevFpSN8wWuAk2YOkgetrjpEaVTxVh/m
gOtfg+ZHttDfjPWM8poJFwksEsCA81D7YShNKDsmU8Mhm2EJUMYYhTIBSXHPa43s9fcH+2yop9Nk
U4eF9CBci0nk07htZFWKid4kYCpCJK6ZUHodrfPzOht+zfjIRyFg/8NpaX+bIj4d6hOwRAS4xmaL
BFDqoW67Fs4k1hGw/HUdKKjugZ5bP0TNXqmjFbZv+ij2JM1K+syt4z4mgFbWvz/3v3ESlh9k0wgC
sATpwl5+8IcLHc04FPIBTUs41f2enSZ7DKcu/N8f5R9uJxOtbtoOXnmQ2p8gTtQ40dnTn8WgQf1r
nNgEelABlGstas0rtoH1Pm+n7otzO3/txwmZGZK1AjsWdaFcIGX968l1LhUk5tV2RQ6IR9bCKl4/
zavvD5fR6rr1X+WKJfMq+eIe/8O5/uWgn1A+rpOwHc04qGs990R9IZSiWuJZReoruvvFwT4/up/P
cLm9H26fSeIEFU4OphUqsteAPMyyATKashv4/S3Uvjqv5ad8OFTeFthzl4tZr1Hke/Uq8MSq9Fzf
9l+3L63/QJf3i8fmbyCoz6f36c3EbpER8Xm+gZGHPcgjBWFVeFSHvjrScld+96h8ejGpfmYTWfTL
2Vk+jZJDu3pEb3o1e84DzZ39Fxfzq8N9QswYRpHp2XK4yXtjn7UFhLsmT/Iy3mNx23557z4PO5+v
46f3T4xEz2rLdZTeG2/D6nuxOvz07h5/f1bLj/6/r6GtfgKTmLTAMmU5yrxhdeGRceYV3pd36vfn
YqufyC5UyUBEL+/XqV6/pd79u7V9fbwzvnjcvzqX5Vd8eNpHQiLTCufqyrwJtoiEi8dkVRyCr0ao
Typ26683xlY/DRaiSTOzWS6ZskO06bVeuPrunJzDVzSnz3L5vx3o00AB7Rft1HLV9C2wY4ZCZa1d
1rxHml961rpYNatjszr0q2Q1Pf3+sfgbYO7zSX4aOSa9SLN2edjJFNjEO82/z7159R6ssDCuyg34
zK8u6+/HKvvzTizsxthmX9CuDIZ+a2Xydg07Jl2PjqsHpWId+siMvK8mU2159n73BnwaRVDK9Xa9
XOXK//ZI6IVXrH4crl+/uJ7LqPe7o3waPGSYuwqIds7uTj+0j+VlfTDegmtaBw3sitfpHv/2lXFt
3X9x3GWU+N1xP40iiYv+v2s57uBHXnZVngLf2SAY9x7o7vg/0ajzFKmrn18NX18c9zxLfHgXs1H2
g5py3G4DXt+T63JrnHT/y6fmn46j4STBbGI5VBo+nV+bunmhLpMp6VZrjXM0fMERTU8ccw8l9E17
XXjDFhf9hdh/cW3/aVT7cOzPVL64TibChZdz9OXafsw2WBE3cGk37V7f/Zsu+V8v1Mf8QsxLDHK/
cULF5b+2zWvx4/1fP8p/XZZN9/6x+KT/+vyf3FfjD5YANH15hQndXiCtfzqiiDK0XJ1ULPHvv2FQ
+LP6xKdAyKFWW5af7GQcftGf1Sf7DwIHbXD2tsqeA52r8Z9Unz49u6YrDBe/lkCDxzbG+Tz3NnHR
Nl1rf+uxolalcmPHO3zJm1JbTA8GElr0/vWQfDFLfhpnfx2V66xSecPbtRi+Ps6S1K9rJR/tb2N/
EJF7kQ9rvQy8jISFeX7+cHOufw0zH3eE+hkT92H4obSnskWx2KlAyxNU+/56MH1QoZGZeH/xEE8K
2bNL4JxDIV1ZD0sOXS1za6six6vXah9RFm7PoXXROcCuTsNIXImmgtJtd21806W68iDPwXfzOQSP
tlDwVJ2j8ZRzTJ6DGIMpeezSzLPPUXpjQ9oavtOeiD2H0lG3JlpFB/S+pPB1TgAeMF2y+ZJzTJ8W
ktjHLDT0e3fJ8TNKXY+I6Fri/QjlK38iGCD0TzaNdB/HqF54z2S/qyik4/bGPscFIqpbWkwm4QT4
SggUFOdwQescNGieQwcXiRTpyS61qxWwIvxsTWabL0TRohfTcBwQSZ7kvmuSKY4iWs0vFX0JOdTd
geqUSEPw93YQA7dtcm2q1qbiwruowroOj/RjHA3pZGImXq+Yk3WQqWEdkSXQgHKxxFSeICfhMrY0
nq8yMS7VnkiVmdTKW7MKn1tQahis2qTJ0FkWBiIcO80XT51CA24iCNtdtU0T4BYNOlxhimwNbLDj
PFEa6zRrXGtaEKKxBewzbSpAYERem9x3ouUG8vxKTeu7W9TXylYdlFKhMJo5P8YYF/eCUO/6TV8I
1dw0iZuFR0zDMtgbqH3gUlC1eC57NwEPYBPAifinstd6TzfSUxZpHPWQwonI4cmHkxDonPysV8S+
q6wYAzzEJcRwRlOkVx10d8SmFtFgXhsUKOtpoNDA1vAll9ucpnDtO7VVJAcFzm64pq4ZdzUJDFFc
3GD7JTlH04bouyzA7CHNVqtgwwaT3n2ED5lLiNF+x6aulivBI/ZSDybfSNs1LTwS+fJXpLWEQo1d
4lyW4ZTcF1klxRbbgn4QlTtzzQdXxfKtxcnPfAppbruIt+xD29P5WTlVOPbr3gmMvVm7CbnJmrpo
bjG142MxU2vj1EN/JI2QQHCuGgCfEF/URWfrSuIjq6iybRfOnUITJ2qva01Wr0ixoATomT0TwhQ5
yutgTN3twhB6LNn8fxdW3l9056BAhQcNi0nXVqUXLlmCvdVTw9btkHCd6Bw5qJ3jB6dmiSIsCMHj
n58jCrVppt6YnKMLRdfpFknqJLWAz2rkzdyl3W12jjwkNBO/sj6mgLGsCEEt2Yg0PZXOd2s5fh/O
2YlVrl9nqYP/rQIopa+Gc9CiA4gYz+SSv5jUVkSXFcgBtopzRGMTTQJVbtOMrIEix8RSJPIBqIBi
dqCrxDA+l0vmY5+kSbeZlyTIOh6oPYMvJSAyOIdF6nbfvfdNO1zTkdP0Taf0CA9FSairYpnpnTUD
0ViRoZ0+EOZKHKWkvfpC6nhabYxs6G0Y9yLq4BMtQZZZFrUP8TnesjxHXY4Z7yu+g6pw1uU5DnOw
jOkn4Sc0lKFEnqxuCc50ZoBFKCwt41pdkjWLZMyf5nPcZjgGRG/WDtUwz9Qn1/DVPteibbckdVIg
JbSzXfI768DMc58CYQUl4hzxWZ7jPieJbJesStdUjiMkNBynSzroeXL474Lm44KGrhfbx/97QXN6
pYm2xeDe/qWLtnTL+Nyf1m71D/LmLFtQjzM0k6rn/y5kbO0PW8egTU2aBTBLnA8LGbD3kKeXxQp4
Flr0LF//XMdo7h+4TyzkR6xhKECa/5Gzm4y/v+4yTJXKL0fAuwKIncn+0zRvjGFDBR/EyozqK9gO
CmmT6O3C9qYCoGvvdDVwiVTGFvGCzQsLZ5UbQInEaKqTPyPPKWnuFPAi3KIkHGygFXMBWqzGjoBz
Eg1qYMSvstJz208sd063LJcyZJO6OVqHQa+zaCviuduTTEtdtkuU9jtTc0j5GbSCvrcRFNyDTCiu
wU+F67btI1rUZR68tVEc7Ugj0b6lXSgeKElqxJ/bUq+9tskYWaxxtPaTzByYCsNkbMaS2FHSIExb
96piUF7abBA7AJmtQAsfIU9gqde8BFo13oeyL3/qWCCvJ9hCbKWrCbpdZwj1Jocih1KKaOZTRfaU
XPJy+sZvggY4RYKMm0G4ThW6Cijq9oYi1J9M9yDqpKEWt8jvGXqneoL8l0JeRFUeguvbIGW2bzSZ
YRxOMIOOvsUOpfVsUNqhH8VJ9DPTABj6sMkwaKdOrN0nehPl264ccEkRSZa9kkFnPqEcKxDjNbQR
DlY7DrjAk3Fcx3jXrb1SO9OVzIXSbJxqmB4bJjvIT2A0ABOG4V0NIe0JHyoACmuIhzfByIhOq3ec
K4spibmotDKc1MQeIF3tbP6SjOCGKS7o7NZTZjV8zExEzlBBUhhCKLXEnQWxF9GNhW4OTeCgm16Q
23PtGe0gmCfTVuFeOWN0j8gj/1lrUT8if07nAY2cYvCtimh/Ruh4SU81quGyrolaXWddzJpGOEnw
poV1QSUFIGaOurDqrngIRL2Je9SZKwlgeYZUKIgcLlDPzzS3FBPZX1dCHVGDCOrRqCYdOXt9Mleb
UcXBKqyyYhkTJ1g2Gvv/s3dmy40jWbb9lfsDKMMM91eSACdRc4iSXmAKDZhHx/z1d0FVZVbdZvea
9XvnU6QygyJBwP34OXuvHTNhzEqzuE4yLLxtyC+afaDD8qk0YvMqpZa9M3tlfOKxJaHn5zuqNk6b
WOtDQPDNxrbD4RqKJp6QBpmZvKgxZfpWoeT8Gqaid3Zh1xopg9ymZZDbjWhAcnThBxeo1XROsV1z
E5tg54Kxxi6z1Tk6wyi0JHpwiIFuvA/RPH27RZO6fmfiyGN0I56yOcOjuETDmzFlFe61qDUuFvE+
S2fH37ZRO7vO7u9SsU6pY1GAgamrndnivfThgzVXVRSMsSbG1WgbZQK5tEKu82zPycrZXQricZqw
Ct/IBEuujcIqDpX9T0oyzMmbRflqGqN8iJOpAUcKqvKxzpmFRVPasjAwR+chMfT0QbPaatwuZd+L
Xci4Ld+V5gxvge8fXkHFEvlXkQdLDLzgW0aJJwjXxvU/5r6rx/UX+iaJ0U3DrhajhEfL0446TIXe
jfJ97qHG2YSp492ZuBVaxuylTDFihmG6n7xYH3wbGin3Up2imdQjwWstBIYxhGV/53XhyHFuiERb
+rBG9WPVyvkFv0jIiNXEJxdnpfFo9zCvUeK67aaZ9dbhchpJgaLQbI4tP4HnW9RNEiA+h7gY24tH
UE5ffy96gyuqxckot15oLp+egR5aJuPY+Tp+vquMgSjvqJ/0/F5DU8+9YsfO3wpNU7wXTYdJrEFj
S+siinUbvYMAYZgTMlEeE7F0Vrgxu1SEP7aVkLoBv8K1u4qmfsfkHNbA4uWqPzcawRvFjr51SqN8
U+voDcQOwnPubWjghHwQrYtfqzJEeR2CFo52JkwD1KYSBtBZh4M0bxacZcfCJr9rW64rGSLaIvwy
R/yx21bMuRlkTNNRnC498VEm1kH77OZMdbcz5V++Y0QrXsCVI7wnh7nFDQXj7X0pXGC2QuhYE+Jm
wQQ32y6WfCgiXrxL7bh8WSRlNSu76DH29qjIN1qeZc9RMqs3AToUer2WdB7OYNVesWQv+VYADf3u
zTXw1aq94pcl5vXonclF3JJ5juZRdi5+TPT1VYM+LnOimxxKcLrTK9IWdkZmIAsjBXWy78MGWNqu
CB3X2mpdaoVbhTANjojmDM8Totx8h8dPH7BQWh03lFGWrwsqfXlq4rHvTrFhqb9j4lFvemOBlNGe
7UXtKQJRxhUJWU1MRw1gbqZRId/E26py9O+6Tgqa6YZwoLk8YFq93PJ2kPRj+uje1D8Webd+ajT4
GQfrtnEDz+MjgCMuYU1Es7USf3V+C0nDK3Ga0JmKYQzDw9fSaxQS/Cacb8cWwwrhd6WGF0DFEQGk
IerUrVZ0y3dJfs987JE2kKoruEA+zvaQBEiq9rAkeruCnFX0u8yWQovPkKZAzgKixh5WZRqOosXt
FzJAzQxSqZyMnMzsHCW7grq8cof76CvVhkwFhKSgale/nj19DTxFPxDnj9wn098WW8oH3bz4ClGp
QHKCATcI4bA8OrPEaWSsEaaJQQ22ac3Qfp8sg31bq5UHbY0lFi1CvxqTO91GIx81YXoNkR3COmYB
YQGyJ9ijxL/3OkfObngabXNBFIPS9kEMA6a4rE7zMsDhULA6LaZzMuJ0BPoyTohLc6c1HlKnzx/N
qsLk6UDK0MhFLOmMTw7eNi01xu8WUrDB9Jljj68pRcdA5/iEtAUKWbRR7tC+stPyXdvsh4gVQuI5
wdZ24pK2QgFyW6b0A65v0+zTacHeF3HGWnzQC+K2mdJytgMC0S4F3Fe9D5C/rLmXgA7/xNA9XwCI
oT7FvpAcercMP8o+XzGanWHeVrNt3uko49s9xCsWfMDl3e0yItglA83RUaKUFTVWG9aRubGMcuKr
qYritRRG8w1A1Pq2+XVyE1ZinlboVn+Xp9Qd1jjI6zKp2ca2FnXXrDfETyNk/eNpiXED0EVoAakm
5NUOdaTfJiVE9hnOw3OjxYDXCwB76mTJtNwNS4S8XVHmlnBBreqbfn37M8xEz7PpI7TaJ3Ge/yXs
j+dBX9YhsYHrAYYIqDN31xYuV7D7BY2MLiy6wlDh6HeajtLCG0vvNUJgCzqia9Vfd9Q75xBxYgc6
J4ZbhIqIK5VtD8OuMFr705BaabN3SKzfCJUxLogBygwKSGwDTq2XOG8Kw/szxebM3eB2Tv3Cf9TP
+GZNb4O8H4l67Q311jUrvfDdWSt/IlYme0eg8iThcaZG/FEAxD01RuksO2+Z05bqdCDJTFUUWliB
ZdVuakNhYkgHxKdgLGztK5ssirW40vNT7eQGcrewkfcKCdJ9HQvYm1Nu2d+LrYPgRV8w/sU9vxqb
stQ9D8rptU0pq+RlnOk9bGY5Opd6SkdEOcCXfW9ANuf3ugnBPB9q6KGkeiThxllkeEY83KJnRpz2
bKu2ebJxfSEI4+mr90MzJDcrAfGtdfrlFapjdVvqyWQdUkzPAQrgji9wyQkqTVJ6ZOSAovun9bD0
Tg4yQQuXKh9OyNBd09xVYTpBOzEdR2reEYAuXZkraCoB43xW049DJ/Ntoidi0oFLqFpbDeAz/ba2
Mzf006jUBwtjzc6Gf8CAJevI9o7KQVyyMVlzTi1NGy+64+DCLacMjmcWtdC0h351wlp423Y5C2vM
Tct6HAhcAm6Q9lb7WiFt+h7L9Y7zMjuLdjDwmidC07X8xgPmc04hHePyQQrGOYVXw4ev1hRqL7Jb
VmQMql6ts/J5y5h+2LQBvlPL5FfTqsgkUCgjF3ctjUcbKVmsZzHvLIte4zLGBRO5szEe2tbSEVeN
7nSlMis+CshDdaAsoT1qRR3e6WVrer6tYz+JC5utwuwjiTeosvCVEkCrxmCFh9EOBmkbb42hyr1t
PzXFU2MvMaObBA0b5nKrU35T59bbREJozYFoidhzhVLz3qrt8UJGCbnIrurHlnZr38a7HBbh21zr
rb6tCU/Pt1oEvw6N9YAV33BdxCzNGn1rORkfDF8kUMixRmW8HR3TuEcIiqKuW0IpSHGKnXfa2u24
t+goZZc2Ue6DFUqKyTS15R05iO4t+6x+N2fu/LzQ8mkbyvANOj0AJSH+pRJXT8+lL7KQw5DyVBXv
1r3zq0C6DLJI6Iinuyj+jidTfy5BnpFTkSB1ZNm2hy+2ZmGhxVu8B1UXNVr9uLc/c9imtKR5Qj7H
mjoerTXIWfBp6axfIm9MHpPFwigPHb4qjgUnw70WWQt6wxIk+zGeFtCFUIxp/Ngm9owSJECzIZ+o
d7d5tCziPM2kQgdiZSKyZmseicJVot+5wE1K3BnL4LuDJDndiRLaaJ498kw1bUlPCii5du06jtLI
IGf84k1f9N/uYljvqgcQsqUhDiqqxyf6lkjd8vj29EbthqiZ2lOXl/2T0VUeixGREe/SDh0CQV3P
YRw8C7ADOBHC9kxvfKXEIyeNKWkafMYZh8NuO04WOTiZkAv+1CzV5LBLRnetb3QTqpLqFZujqtac
YbhGFRpbuKdEv1s2GwvpAO1rSIKKdQbM1monuvZhiuV2sb1N4k5msTUwOvebLh/Ss10StMzyv5g3
RZKHxh6PEMyQ3kOgXlmp/pFj3jZ2i6mGfN8myVIeMy5a+c9Zzv/20P6jh7ZGZv3/WmjB99d3+5H/
n12ChjT57P5zIPjPv/uvNppNQwzxJiM3SmhU6Q4z+n/nQIp/mEz9wJbrSBiFbTEq/Pc80HD+4ej8
WK7jwF+y4n/00dx/0HVjE2B8hz4aPd7/ZB5o/0ok/3NcxkyObDIXLTr/bdXN/9dxmb0aIFQBqgl4
a8ttzenU/JwGM43PIwb25qtmzOHdGoW3b1LMfMJZQWABlf+5gBtEf4RjpzfXuzx/a70x0G39yBns
XDRTUFbV45J2Ny2emTGBuJ41n+1UccyBgZNn9bcS6alYtxyteBhrOEX087cO6dtAiYPOattdyMpd
W06g49kyXRegYvySLM1+HMR9li83XTSAWrMWAB/yvgd5FE8FaEQZDGOxL0NL38hWg87b7iMzCQpm
jqTC6t9OFj5FmElLgXG77PV9Z8o3JNH7OTVOOLO+rd5+agzvtnNSH03vXnnJwc7mgxnmlz6fjoap
grSkW7CGCSnX25dW/UZiFSJwJzxxZU7kXATz91hfOvcZ675vgDaq+5eciSMhhOy4S7snDX3TdQ3R
kN5WyOJQpPxM2rf0O6aNa2WBM/d/Sj0+h9iQdz052jZQG42USwhqdvxuAUpy7RNg450tOBNoirRD
3W+0jD5BTwXSbaLxZ57/LCm2mE7baso5RvjNW8j0lZxPnt1sjS4+2swTXcjC1fKxdlNCXL79UDHq
cR4ihks08Kx6OUJ+3yKuZvZzKvOelsMjC/m2Ha+sykHiVPuWr9O7BdqLR9LbpmgNxRxup+HiSYaj
FoyetfzlAjDgStvY1wdrX5vtwRo0sgDe2vHUTqNfqLt+/oocEwrDYx+/xN3TnP1oqsNzQwPQemdW
CwWdQdkjk1I6Cfjq1D4Dm+ziakUS7LtENNDxkdu4mZ5Mr/DpEdMgReud5Qfc4TdMKy4DACY7Daet
58SBCsUdhLbD0DpHRB/XLK7vo8V5nJPxQE9jy1Rsl0i+wS58Ycne5V15y9HrEkbd3rCYKekTe0rt
BAZIMZ6oY54MQQKcTeTtXs3trWsP+17mQZ2F+wQPZIgdYQNKkC9OJ/IhviRTzKfKuEl1cR5l7HMB
/tRmd8oqDvuLC8kvsqbtTFOihN3CVveViDSIHU4vw9L6hpxuCoxTjdT3MiuolsIm36ymKPiPd7ll
nfAW722Gh8UQRZxl49cmMQERykNoNMkmhy0aw/rdmxw4gUbGOz2yXsqkf6WpfLU6Ye66nGgaVoBH
GrhiE5HYE4nmPOv13klDnr7kOjemd5xkfzR657NZu1CoDfzZLT7MBr5a10LghutgbXLB4QOfx5Po
5s+KPVfkyROLDuQNbXxZGCPhSoUSkG2Ys2EXbCI79GgSD83ijziWsaGJxuzeNWxsw75YxoNQc79X
svmUA0WcBjQlEK3Mj2VtDjQj3M86bCAT6EN6WzTiq1yy52lEcVs0ZB70So9BQqZHQPbwknJid5hb
ElPRDkkQjt3wmNbLM1IxcHVZQ7nSIpGjGdiM8QsrT9BGpj+W1iFys50jXy3noXrJ8FcyK4TdBWba
RSFqJmCAZh59p7CCqqsCLetYRJWv+ICtnd+bIw7JguTzUho/2dClR+ZyxyFZ/NoLGdBmpNHb4SGa
hmM4apfRdPxEi8qN1en0ZDXfXuRTqxlnjWkaxhT77IzWtqU7v6GTD6IgVm+eWV0yd7wknAVTpe1n
8IdVufxICzq+lg4cLhp3ZzkotqAIlAp7hSOPeKaO/VDeu0kElSIvn0Y9ObijdRRF+6yJcM/Z+5p3
MkB0NtEnot2qHwwA752b3Sqvv0RD224LbTJZEMih7O39QF7hMi8MRQzxmc7djREV58kUf/PEeIDR
dony4WFK5RGcS7UplzfH6HJfckTx3Si+g7xCGFNtSb/IIOw4DOQNH3iXvJSts1iIG7Qnzysuzmqo
+d8p4n+vYizLWQMF/99TxOfqEx8ecqH/rH3+9bf+Xfw4sJwJ6dSJPnXXP1FT/av4cfR/oJCCyGw4
yIEQPiF4+nfx4/yDGZRNW+13wmchVvqP4sf6x2oOWP/xXNxn0vmfFD+m89/V6sy9sD/xMswReTno
Jv+1+uGoVnh5DTkNGll5qixBfyabyAZzKP0CM4qW42TTlSIyRmQarTstYmJHmMc4oCgJVWv7nqM1
+zpL1a4uI5z+gA9FVCx3VH6C3bCT4Iq1xj3rNeyDTaZBTi4ArAV6Mg6veuyEd1VbNNhzreqSOoP2
mUiDSEE7D6raIS5x0I9Yc6tzExnyDwkyr0boTe8O3rLnySvDR5vjy21Z98abTT32ls11e58LbVdE
IXlTWnljNkX7p0tjEXAkrL4G7LkMjTxs4VNUNneSQyJhEpwl0kGnk8DisRkHQJa4Mb2dBygBtI7s
jbvco0IZeze7t6bsCcQLTInOXuhY9mCoGWC4tyFIJ/aFGcNt3rUPcfmOQ2bc0eF5B4lBhUInkfgC
EAi+6BdCBVJiErHWX1uduK/cGqM/s3AIUXZ1iaWpKE4oCo5uPt9VZNPslimf9yO8wr2M5yyYJrp6
wtOlzbgqxWUwpUvhVxmcrYTckWMa9pWfTwOlEvMN9m70S/SZDCBIfUjKR0jGmG9ZtMuxIdM5/IRy
uPZnV8gah7JWHjVMv3cL7aOZmMJNqIlTqlycbdkIiibOijtmKYznrEweIoPmqNNweXbzMBMyIEQZ
VCUeHd3I4GIt7BstPy36j6qH5wbfkqF0abt+C8jiIDzBnjX5rT72sAs/jfZvzEDIFMj+17rTiaI3
e1TXxSBjsghf7CXZZ2G5b0KXWIzvyo5/yGs8DXQnvMz41qPiT5+6WOes5Ji71jGR5TFqSemxtEuB
u9noptu5ih67rDgTC3JuivhA40bdUsxYO7jHhynWtmlDbmjeBA2DvJ1jo7ACdpQkJoOSWXvoEZTF
ctrUHI1nlZTPmEvFJkd4D6BJXGB5liSBoAoR5cELSfVgNe9aIin1ktg5az+Zw5tnJaB4RWCuvnH7
QXNoVrqPdnwN53dwciMT2iHc0LrcWlNnBS4o5VsA6T734V7HK7MUVQAmzt4kVkuK0fCgXBdSp5wC
p3f2dK+AljI1mpNr3k8Hh8SkTjS3hGy/eC1wDrqabNhwqvIu2urm2RQ/CwV97IH48+YjoNl901fG
Xrf0YdfI9E9TkztghdFzlHk3fT63MDeb+ifPbDKetHuSX/zckX+6RPwh04V3HlY6m3R9MDr9Ytff
Cb3UYWlAarj0wZvMk4xoMxroDP78bCpRWpE7pEYIbVb+U4N9eIetll/clE6Z7c001dTVALBqjStw
VDsU4IIGKQMvZ4JXLebP7PXxPiaVynaAOkRfPLXXGMYXg5YGsFNhX5aM1rajHiM9+jOt8ztZKvIl
Su1O/Wa19OWHAaYXi29ZbcYpfYxXcBYQm7tQNy+hUOMGDF250SJxHxrJ55RiNFTueG+V/cPkOG80
1q4OXT2qSA1MSf4EUfMsavZvs1QPepe/AfHi/swuFZMuaFlHrdf9fg04jKp0ZsZt/I1G9Tm23Usf
LsSgkQy7BR38l/3kgzChs8GM2RwxLcbNH5FQUg1R+h6W8CiBy+w6hwb1rMRDLyaiKbVgTPo7RFBY
g6PmvpooHUhMD0Z08Kr6FBW3Z8bzvSj97Hb3MafJsnqfSnjgbXKT8q4y7dWaxLZvF4sW2vIRhiw5
Lvx+hAQQKTDM0IDdkXqzberbWBqHpbd3yu3fOYXOH10fBSagLDP7U4dnnWVQ1/sf0BQ/dIygMJly
g+MU5Ug4/0xN+4CXCWEut8HSducw/1KsCwxJ34H+/Z0syURHu2c/4p6Nz1qJ4jykGLUdCmKZ0ZqO
NI50TbF1auuhCZGlgDKHCV9e52K8l+UURBZcZOD1NNf+0oEGrWpkOwLhjrgLCQKex8BS47DNO1j3
zvDTm+IuXfSX2Yhuie+6hy10nBawG3lGQGedrkfFBUTTGGfHVDUubUCmVJM0cVaXUN9RNuNjp8OQ
ECe/jYf0D17be7qEh6KgDZob3Rfl4/Okqy+vsqNzkYIZGqXaQZ2DIVGSSuzutbA7k2y0aZk7MMMs
zGAmvjMIVUfc3nJ0SsZJ1tYZKTXT+ktKe+TH6c3U2FzkAnxnLU0IeyUxDBpkbX3sbpO5ekmK+tjZ
oc80n4hZQ9e49xJxZxbcCXr1qABAca+b1wnaylV3u+RnqmcmxgC0yBhThxED92auWqxZNcEBDUv9
tsmmWxaZTyPJ77LQ0B4Q8/ngIVeFq30miEUyIBm4xs4dWzmia57VmlCzTOVvzfLltIWPVGMz9E8o
d8+VFd8g0XkSK4lyMD7TWC+Dsjf6gzfWWyP6TOsGsGxPZC6JXzj9UPRU3sFq2lNTTDasXyM6jOo9
bl+a2aFHTHEOw3zTdvbWxZa9aaeJ68aJVjb3yo6OrZEfzCUK4jjcZu5b7JVH3Y0Dx1po57pMSO4H
eEop5dJoojipSKdh6Jxy/+baK41ydK13DvQiMW0VfB23i3e1qzh8RhvJYmvkfH/SpHIgVTr+Efp9
Aqmyc/N9DOTNGuJbvfws7ebN8dwN4DxarNFN7zIaiu1rJRuW4nJXMUeH1vIOumk7UVlsjGjYRml1
SwZWgAf2YJgwrEj0loN9VB7gAss6M/DdlBrkfycJunoJYgvqdV+8Zrl17NVcM0C+1B3AYjG8K/C2
xkjmB9osBnO7mJZXaYRb24puHOdvWln3sFc5/hmHqfL2ONMfYm4Vy/rpZcjCEp1qgFTIsYd+gmAa
+YUXvReM31P9qhYeHbXcm11+1xb8LexwPiQcBPkDBQGeQqvg3ZfpThgVZZiYQCEmPbMX9awzL8rA
ZpN3SNoQVzSuOEb2WMbHZT4oYSM/tns/iZfqQm1J0yWOCKat1zCk+ZkdabcOw+JcGmdZeuF+qpOv
Fk/tHYO7wA0l4UXKOZmTpI9ieZ9ukl8gqVPBmgkN+949xgigBi+7y2cAY7r5Qly97wr6IKpmRRSb
xlOQFw03SPiKesMRhLiG4y1c543NGL1sf1qNYmdL6z/ehXPR3DaK+98DabRr2+S5MYCcj4YgWHhR
cjcISPbZrFxUpbStBhgEjIW2yCZ2DfXUqlU7GMme4+2+dIy/dNr9Abrb6OGkr0PeaXTnJtpHkoR+
2bPFy6E6rzlOKNVv42Yg4KD1gpyRn2qt52oAmqXQSDWzdSHd72QQ2a1axvyWPFLa+bgKCBNufU9c
klzbWVQl+UQXS2NwNQ72FiXfW0hZa1Q1ULRqa5R0+eNs3nf2d2i8mhZV0qZfY/iIYTC7RAE7igEb
MBEQLk29yAa28Vj3t1SzW8Jvz25vb0R3MNzhYGHVTWe0JFAagsxR5GFNkY8tm0rCPGit2BXZSxfC
vG2rGwtQgS9gTVupCJIVdzeLYYdxlaCb8bnoXmsiWfQHMYMLDQ8W3b4Gbv4Q5y+aEn5H5pKlIdAf
DOuamhb0jXujl6RN6N+g9A/Iv/AQ8wmMbB+7nIfGt3hy94sUL4qFORI/pkGKWt4cjcLRyI4nFiYh
mZEfJpT09siQbBieG8RadLgZJgG+gIkW5dNJpdMuogdmLC6LcIMGL+18CmEGLhoAoEi/GPlzIV/T
5jiW2i2ivpNATqdF0pdonFkJoExtqPMBH4XgtTOsB6Y1JjuwSIHRan6YrnulEYiytmlriGb9Qkn+
MpM9Qqidhka6XM4DIZtLbhanOhNqp/IP6NdvapW5kEbqo/B8Kln3RybDg2ZCw4vvi576l8yG+Smu
IGWuusP4ouDfTmYZuN285yk4xnVxUE47ktoFQIro1PKb4a93iPIKQRgMxSY9zrj4OWdvsjl8VN0L
eYTpRlovXYIUkfBOYdjcAl36jDzV10e+fTMjJoOxFzvNnl4PN2E/Itwz1U0mjc1sdXvkYA23v2Bb
7aI/LCwPjU6P0MWd12tYDGzs0qHpmwR1yYkMBmXUapfPJmPcUEpy70jsTub5maYbt8JyRgG3HxBM
bPvKNrZZFMG8W6faREZmhLLudYRLDhaHYAE7ZUWSkVgptwuD+kPXXplYEmduntIh96GibBRckiq+
xSRBXAKWkn6IHm0N2pgTUde4OSsgmDrHvC4J81NbuwVzwjMsd4hxdiNSLhk1PGQOqiUA5x1egiEe
p62JxBwxqtjKjDYU60mfnoXD9dV9gg92eYM1pZC3zYquir8HF+CKDVfvbZwSgPJpGUwxELjaeWQM
cdYhj6u58lM5PzUJ5cPyKOjWhtlHoz97UXkgHvsx4Ty8NOXtmMGBrCTTu94Z6XE5Ae1SjpWscAi+
/LZieoD4YFNGS/+NRoDlpep9SJFn2KfNqdKMDT3A7C4kosCZwzfsBseO6l+fKDjhe8LcICBKq3M4
2ohfGF2WaJP9eNaqk4hbWru96mCVwDFxlKCPOWEQLHtVbnEppGnQInSyfY4XBNoCFUeeWhlT8zcH
ImITzUQWpEOY4m4ECN2s5VrxMoeKIeSCMi9Kuu9wFGQMZAHgxexAKxWYYmhzB8aa3t3MU+MdoQeR
8gGETCsPsdH30R1D6lo9CKkmFFlaTcpFPeqwEIud5U1BmHTcS3zZFNFU4vdd2XOoFX4jZorJTPt0
mRfAVOZjk0HoOCFP1XxZDIFPKA9ytm7QkRY3kl+3M3RoXUIS7Lmd45CDQJrKAW8+uvVyI3SHWKy2
4H8fRvdadMAUiUZGO9roJAuHXf66LAPxClZYNB/R3MYgnMvQzQJ3iu+7xa3qu6IEc+I3ox5pO1Qm
5BXrv9nFSGlfaIAMJ8C+8x18GVbIqa6eCxbHYyfa6q6PC5obFdWfBdRb+5mw2Vxg7ZORQ3vme4F7
g+w5R1fp0hrf6TlqJ/im7iOuneiKG6b2ga+styOsILG4ZMEqNoI56qSvUDDc6Fr1N9NGN3Aq77Gu
y/jgYuQ4wb23/8yZKP1hiHsf7DUFSb/aiJJ6OC2RN8He5gSbgMb5WwkAviIGpMK5vjp749pZ8grv
XQda2yDjssbniZEgGbrCNHGD8O9Kh66EYWVontbTFdOyWt7o/ci/wuA+i8nlROCYE0WERyrsg9IU
CQ2EthIDtWLQq5QUGc5iDXp6i4jpjA3wNmMmc9t1iXmzZGwPSsjkDBJVXCT2nlM5N0dCc58xTFan
uO7dg3IhsAuTI9kaE5GVJW+Jp1k/APPTDyJE1Lcs4yetrvZRj1Y8fkRGhdJLNHhLueZbrJEZZBfu
hYa+ZSS9DEd4sr6nru2OSrn8j23D661pGGOZDnKr5lUqKAHSj7DGo2yOr2rFGzHYomRff6WqG7Ef
B5LuY9zt4HYXdahsdArKyeD7j4Dbf38n0jN470vR362O9EvGt0t1kMQPgoSFh9oe1KHpqgx44nAU
rfelmzWvO+oWAbEW8FxzEZfRWvNCI7n+sYZJT+YbfxKwdZUEG49vYAwqV7O2jKwRcyW8UaSEUOhD
ojf++UlNyLwhVjvaGva0Vw35SsRUnuHcWW9wDc23KCn0wxj3vPB6bauV3W+3KY9WQQhH1ZA9gheS
F27re3DIknYgdsCE+t5OmENlDW+7chUH6dGiT2+lmkHNulwdsMn7utae0BDywSzuomYuPpWRx4DO
ucB6on0xkQJS6KFYF6b80iUPRISGb1+tgSQqIseg42z5lpb64+/N9PsGoIV+aEv0XqUJPcJ2yh8J
ZCDIQGovI1nQm983V2lrIklBhsnvBbIJSdr/ppQoKixGsywOHpqQheZhpnMstW2DoRoZmIcOEdNG
TevWbrkUg94kb1Bb1r6QXAY4iMRaiYtbc7GrlbGpil7s7YGvBzXhuxXqjf/7NumSf4E8u1bgtzfV
IElY+Q0/SUd5M9bR9ffNdSF5Q5rtOo88cpyDbN4/4zTCFmbE4tnAL4G9RqKfRjZMtQa5jOuV6Thi
rddvFPYJN+Z9CbqnycKvLONpsQeuy7jCuxCFMr2JUJDrFm8m443gFERe0mgvrRF/am7qwSjTWBNt
b/Tb9ebHHDcGKQ8895P2ZcnwRXk8R57eYg4puddGOoMb29ResJrxwQS/TC/te3JfvkIRobelBtzF
xIIciIpgXr3+ejtxTogWSWVYP2W0BjDYhBIdTDl82B0v+ptKo3KXR3waKnwBQ4MYR/BZRY34WbfJ
zig7HmoRrbEPrl7uYrmcMnP9gL8vx5Lz+67aicSZvsxvtXhuGMjzQP1ekErV+gEWEd/j+gkrROJ3
YlqjY7yhPNmIbB7HxLRIJ5u0s2aP4iKcTuxhlhNlM1asF8wGH37vzrFZpr8gpVDSGZZ2xoxESM/A
7x9H7ozIol/9+1XDtpPgvbrex5RK1lbmsfb8PlFRy4rzzxFFMfMKMcA9Yia4i2WvPXFkohORKmR8
rWzEsyEQCqgEhf/vVzE2Lf8lyvhkgsHla64Br++Td7c16aY7Zbg6Tqxn4g2dQ5hF9XOHOgtFnGGc
UokyMwVxgqq111+lnbK09Ye1zd41FKJRW+FDTrR0zxbkPrRLoZHQTpiZ+SidIYAkAvE1ehyyhlO9
Nm/CnglgR+UXoPWmTRU7P2lTbher9o7zYuEDsc61Nz2OnfqWDDx8TZDepaCJGTEikL7OmUdilA4X
/jLas9YeSYgpynPX19pLTNDwZprmUweZ/+Aa7GiN156iKl/jhLv6ruYPsh2/SRd868u43LuN+iBB
4qan6k05Cdl9/Y50+x4lYrRJiowz9FcePkgabemoBWqYrj1CUyYMLVvvByvYvVX9X/bOK0dyJc3S
K2KB0kgCg3lwrcJDyxciRCa1MCozcje9ltnYfMyqQd+6wDTQ7w0ULqpuRlRGuDtNnP+c7xTine6X
bxLm5zymkMEhI2CrW+3SJtnr6sid0zm05jhsIIq+E4RFp5VezXIsb2UdclSs7gnb3Msm/Sa5a1Pk
ZcaAoPp2SQwcI7o4/MlDm7Ve9VA/tm7FPNilv8/cJUF9X8GQdJTznAhx9Ibg1YWp37pOeK9HlKq4
qdpxbWj0pTjC4Mpl7UdS45GTjliVbFioNo2L45VQVZLxNMbhviXNw8trv7ShzzzLu+FI9OmWIZzb
zn4JK+cX9r+DCoEyd/ZDqtyd4VAmQ2F12IiV3+prYdI7lS9tGMICno3NhRrrTD4DKze4oFyThMxQ
Iem8pHSjdY8czj7InG/pUNlGIf6H2rMe6HsrKRqy4OsSJyB0MdFSnryMzfSm45qqPkqcOOtyQG5z
uUnRxVaCxYrQ6qkSjDPMPKCS2eQdUQXVWbrqt0FKc9Igc0pgBC5nSole2q55UzIVm2Ees21jYNHw
S6pjFO3jq4FVahOqgCsyLW3RhIOzQcde96MTA+DX02M3fFhRsPEo4dnYEQ1/g9EwhzCC4kTvZn7E
UG8dGh4m+OaFfi44cH+MQ5QdDRyTG/xhxrEtKIrlty+onOttDpY4fkG5j7fmEjiM2nHeTlluYXLg
5qAnooghtlYWUeO+pctDF8AixxGbBSPJgsCNdJ+kqn6Y+BQnK1pi+0lv70ZWip3rifRsz8O44pDX
vY6WHOA7Bu1d7UXtZiSSvPwFzl6JLv+d023BqhkE3KNagy5rKIpX3xnzNypb/BPZ4qVcDKuVEFzv
uoYwez1W4Snmg01xzCj8Y+dZyc43feclDkS3US3n1lQFGbcPDV9+MAd724rKIkg3eShWUeGcOpBK
u1iVvBlebH1oF9YuiE+3JmAt5QaXjPxmWW3XwWgWRxj0VAiC3DQ/am9pMxJNGZ+9mBLKVdKnJZRf
ML51xBu0MpZukc6jILEfUsaH0+S/ZKGBQSkJvFPhjA5UvxH2atDw7NLZTbv5QJB8ZVuUWzQxB7hV
qxK8mYQ3aQH08VGPKHSzbhFMovq28wbnTHY5xJ8VmlTNd9VmAHBw0cQSOMk35ScJtZxSHD7kZ9OQ
WGEH+60JpP7BzOnRY0eNetCXFK8sQ+sVlVLUkKgBcibYBFiL+Jz7o0l2Kt1jxkJswCOzsR1nPIqa
yt6tC1coJmLDGS1lB75EcRi95YxQPv80OsVkWLGrFnZ4cX0ObkpTCOXa7CPG3ISPqKIW3z2HzU9g
qWpP+Qpg9uXIq5TLYbjCorfozA3W5l5wwK1xvK48X1EmPC5R280/j62WnZ5pDaBVKu/YKzE19du5
B+aqS4NQ4/IWrGuDLXPJnkIDirgEt2MR3WA3D72Vzgb9E+Ow+6zzzr7mMW809nifHI3rKWdDxxGu
2iDtaXzSy5E0KDik/fOgLTnq537v9RjgB4zoUD3VExbb4qGVaXytc96DgrYNPj2V+KBrpQOobfTP
xDuzSyqj6IZ0hvdglgluvMEQm1SOzHcK25sPIRlhZot2Zu1nG5bImoYTxn62Ip6TONU+z9k7Aeeu
5nL0nzsjbW4Gr47u2jnV62RGFI8pcrqdBp8zdsPnzqTPd2dCAcCs7j/YBLxuyBJ2nL6gKGwS4VQI
LlMZInql3p7BtV0SDgy6EMt2kiOQeMNv2xnTTUII8xClszprztbcuct513m00rkavYrqr2pf1iK6
m2ebu21ldhcnXdLAfp96yHtWZ/0gYTsXt7SKOwbAHZq+HXK9wJO/kVSf0Tc2msbVYCx+S3g4MHc1
g76HkJf+dVI1nc1aTvW6CJzuHTd5+atbTOCeqI3FSIWORQsHRNkY0D7pLi86RMLL9yBjvVfPM5jY
NumQ/hRYqits5YF168Lp3VbYqX5xge1/KLCxj0pDbKf4beg+LL8nhMnf2V6DNrXPg2py0hutBRkv
BM8NzdvLD54FyKNvXV4gaqnslY6K+JJQWViwe5MtWrtNOFw8f6TvF8um2rU5T8Wqzj3/rTGy5lJo
KcdtmLrZV2dHqAjTmEk8U6N/LYPR/gT8T9VBa6f5nZ8klDVkcUyeTNKmCmu3JSrxJy6lesVn1zSW
j/1yum+EmZ8tmkQoDWp7g3o16fKwBI7JLg3K+KGqK3FT8ASTpqprkhKkJyaKwFpCUUM0+He50QB2
yHT0zKgOZZ5j/k1kGBk2+yIz1mhBL4UgZPAVctPmJtUPln2pl6vKOmFfDa5BJnmoSFIaNER4DiNL
t84LgC6O5mjixr5xLig/Q5rj+AsETk458hlRthUX9Lw9hbWy3n0rQXduxjYu14YY3Qy0NOOGztd0
+85WlpcXGabJT6pD9UnwIXvSg5Vh/1V+LDacxGjMw6448OliM8EPiAn+OXPyktmNGXHjGsicI+Hq
+GQYM2VnyClMzYPE9i5Wzm9hlWq+y2VZYigcoEhjxpnFib0aSXmMvPZVuxGDzsz0+cVzSmJ+wMX4
78ZEcCayU3DHFhTTVUP+gmuG6oqjtgCqstQ+4TG9n5paOsgSNLP5QfPjTfRPOfOjG0X1ff5Ha3fj
A1W8SBdBOqM0jQjsqTGJhxImPqUzavpy5XA3zbZ5KWIDtdDna6M5WBZ1kQvSVmO+5QPqblJnjO+n
vPRObW1TByNjfzv2gXfh4iPuRZ7M+ynFYwr+V963ReKeR+mLD1/ES/MMi5EMl4NlUMGoDnPnS6dG
v9OcL04lLzSZlSqKCKRRRZ5qjwY3Nbjf+AZaThiUJj62ga0rsCIoXAeRllpT5+UMyWbu6INZVUkW
6r1qiurccAqINsGYV6/NMIz9Viy5X9bMeJ84+HmQ20WgNt5Ym/x6szuR7IxR9WHOdLcSJnq9lSkF
62umRvUjEGX/2+vQy6Jotj5GeD2HSdIqSoumxfk28u0Xx8NHzjg/r52Nr+3wq6mrfOXZTExaN3+O
urT7oDwW58r0NXh+8MAit/gYK78/TGM4fXv4ujCqpy1OdaQJliQuphwVoFTgTUKz5yOcNSvfb8dj
wRLxNP/JWBNZk7d06i76NZ1fUbOE1cIlj43Ay/VAjw1iXsAvCDgdHVqgkZyKiWyqM4ZyWxbWyDoT
q/jTSEHlaEWhgioRvtzKpYiBs1pRGLzTdESusA5wTfL8GlNLa6FgIWRuqEn3OfVZ5QfL4nAXO6O8
TKYY37rc/slZxtbYMMnXZ7TVIu4TaaFxO16s3FNIifqgvWkjhUye7DkTH8LrT2nN4Q93t84PhuNw
pvHy9E4TevmmUnTksN05WI5a74iWw7nGLFhzgv6WOrPqkdpKNunK29PPyBxeJjeWRZ3PymLaR9S+
XTAMYnzt41vbnUfkMuOI0alk+si48X40q/HaVYpqcG8MDr5op5NZDPWVBdTZ0tUybdo6xR5NiPeo
4jj/rWYN2F0Y7g0hsf5c2Lh3FZfCu2hiCYE+3D2URrw1RpGvW9TA+0ql3GZAHRx8Sa2IVkN0tfGi
EQYDXbxJG1lctKfiG/wV27bq2JMNu9zRnRZfEOWxwVigwiVFUVtnSeINVeA89QrLTWNnznoI53c/
F2JN/3b0NtHNtZeBdza6/C4PEObCxikPTH+RVhNtYFjrpk0cJejdbV8f6AkSmxl430rn/e+kzFnv
m/gT0yRMDsvg+TC9ZoVDiiIJw3qXlvHgSKu578GnP8R2HO1c6u12bh1dYzWxcDVG/9JYLSAmmWKg
7yLvWvSF/+6ZfkS9iev/jmdnuiZFninaZKiUUTVUHqcI95zdrpzWsnvb18MBd3l4h7DWf3oDH/PC
7LtPzxjkie5uBsRYwej8jCVqtGvdBHYdM6yFPdUmM/+Ixwl9HGs7AqxeET81jlHbA3ZrKWO8GH6u
DlKmBJWLMI73pU6yjTObPBfUv1g3RmsQAizrkgQhsTDuT/jxGhVshZo2FsmvfGieMjffx3nAE6ds
N702TKBORee0d+BqnXWZhN1Tn8vpxHlLcLtHW/qnwjOzWZ05YaEGBdbSPGoSJSHWy0nQ5O8JRRwf
J0TxrYstYQu3nu2drci9bYs63aJVyl1fSOYeiTGRS60oSFvwVQ3ZnFuBf/ACh6k7Nb2T3DJJz7c0
lk43CVHDI4Ow+UBZ0zoKnCSGQOBazyKzqvNMMcyx11iwkFOYetPLkl6Bkiw9I5VmW2KSUXE7X1ut
UdxmbeXt4rwKr20pwjMAt/QiG4MTjKnL41A0wU7kfomqMk3xMYkwcFfKPgwVJTfS6oa9YyA4mqxw
qi0uHRMOcrMWJcePzFQaMJwO3vtVOqbdxjUKBpJO25NHcbxZPVGPN1zSQGR8goSzqT3cSE7I+hZz
6cXryQiV5iTg+4WZ0AkYG7Z1USgBq4TT7V1RlAhO0dgUJxNtE8fXHF58ryQkGtluDQE6ZbOjz5Fs
oAiBWXaG3hqKoa7XyOgr8NPwOtM699m29DeP1MEwoB6shiFdGePao6gDCTIxiwc/IWjvcu08TYlF
VGLSzXhB/ItuHRS0sztZqPlkr1+HoHcYjaMPVBJRWvlId12GGthKJNAgqu/+6IrZUtdalWjBODMZ
STi5qX45XPpeO6cO9v5gt29xsHxofARaBksUWns02v4ZeFSSTH+ARfHoG4wXau42KHLp0qRbL/Hc
FozgD2vjEoavzeTVNUqGvirtigcTR+mOmlYuL3S5ct4bGICgSHHa+SPqOou8b9shIq9ozW/bh1Ej
SKXQef9J9a26p8YL9EpBTL8VgDDoRbCPwbTM0FTebYzONZ46rom7ULUvpv+YdrjqPHO+60iNMMxr
NhRxotGEErRJIus7rWndkI66zzPd7tqQFmnBiWqFJClPeL78W6gdwcYaOMrQoI22N3X4LDs/2M+G
f5o8OsdximKqbEpONFG9mXND0wHCEAMsQG7aG9PBmWH2AZmlKpivlETZM3kV0hWkRDnC8jvWWLbZ
qSbKCpXv3TnhafY4zxFNTR4nL9DfccjbOlAfoceSAEeOUOyEnLA7EwYtu6idfdZVRS1uOVNDjEB4
YThXPLgmF+Q/RmGirsGN2Y/xT5svkeQgs+Vj56HQjhrIEEk1Pi2mQIVGgk3PbqC4B6cDDit48i09
dzpxo/f/CRj8PWAAVyz4LwMG+zr9P//xb+mCf33Lf6YLCHHh9wRm+qfPh5jA/0sXOP9gf8OG75u2
E9p8yX+mCyz7Hw54Mts0PWF5NqnHv6QLwn8QO3As06QLyCIDGvx30gVwX//OKLMs2/Qp2LBYKwTE
4OXP/0IkttwkmMA+4jv18Z+scp1HzVGhCVOuK1R01dWgw72HUDewITK13Eaqm3+nYmTP7rhd/ZhR
3pKu8rjQnHWINX9DfsnITrloi57Zi5V368oQc3mfFrTP3Meayr+DYTI/OkUaBL8Wcu2lZrQfmkwW
h4KrD/hKB7tmwdYURFa/88KmW5Nf+8kGpM2iGJpnvLPTyZ2z7teMT+87o0VyEZWqbaAdUmKSLP5s
eTggbC36vRf0/dkczfqRXMdIJfoCP+rBbUBasgWVtI6hvnof+s9KBUQAt6NDGcHO0A0roTOVDQ4W
wauyLlLb2AqRJZCQqtB/E0MfhN+RiOBhuapR7VZwYujQMi1scwaA1+7BcOiju8lKxfOuxExUzner
EHeO7Lv2Z85GfNIxKuhraXppgRHcy+ZNCG7qLIeGWyLLBbXtS905mwXPtl8wiXytlnFgVZY4A0yK
DGGV2kGU7/KuZPCCdIvN2zVs/hS8EZsTWU/9lAnoBjltdnSPtI1NgPzPUq84WpxjDCIQnCAG1Kuu
lJ64g5XAl8CRtatHJA6176cUZ5451ve+8ndW4VEFmQpMuwPUfzIKaxB35k3iadZlbfvdp8z657YL
JHgIE3Cq6UhYoBGu/VoBGKoKbYFkiPkRF4JFbzTfooS+mttTd0mL7HcyJ8fS7e8ngFc5hZQM/VsF
Sqa/NpKf6geDurPYv5vnMGt//DLr82X8zgTTKZ08wrFGjWQomGlcCMXKxWtWR9W2KSMEToWY8JDU
iqo7lyje08gxwVs1XdydZB5+G7yy8S6cTBvrLSLKI32kMd5mFafr3pFZdFTG8F3nFKYTpWhH7Ouz
+EmqadoGVUYqb+baI2ZOIqncDV5ybnsfylFFjLBxq2M5FE9dAcG0p1OX2MfvtssemHNkZwWqpW5T
rlao+9JGGaHnspNsfdFkbtRgPs21de7M6FMHwbYwvD11tORqwQImCBhboILQhVJANkEi+fR0yQUn
2T0GwHyXWkv+Z3Zs29tRax+eZW+bN8E0wj3wreCqh/GMW+GFPtrbAhQHn3g/426hAs71bpGeeolL
ZGVA+boTxfwWZs4nA2kcxRFogQcjFq8asFa+d2NHPvncTmDrATA4FxTS8KFxxM6enPcysdhhDaIL
J1uI+ifOyjE/6l6mODZts6MDk2nQlc6oPqFv1VAtdsEUkSIo501TSuNIHb0gZqy8Zjjq0kq3GqZA
SBQXmaQ5D/Q8fVFF5BEimWKXJAMZxy7OYVaE7XxEmp+YH2dWAwIqKJn2VnlkJidF9HjuaRx0iVu2
YzBl18lVOYAUr3XDcySZyh5Lst+CIwPpUNrCShtj16wa4HGRZTdrWgdjSnrbMmecFtMRoMI5PPUE
Oa6O7AJYKNVU4ofnzBaF2z/7fmwGefP5RyWmIlw/TTIY9XbA15PzxsnlNtfYDFQLHv5/asWc5Pi3
AG1hoJjhxKoSK3YhsFAda0udRhwKYo/K010dBKPY1rG24qMf9q4LzyodAfIAfE0lhr88azauyxg5
HiPOklCmctoIs4y1D0BgLW8dwC5LzbjC3tBidwm3ZiZglmW1zRqkYpKr2D2dxuYon/QY+VoIfDm8
NWJEO9OIsbo1FY2Vk7nujUrsU8qit0IOwztWzlvLLF+jpLhrVI34BNkNjvJtYvf9rpq9lMgCIJRS
6G8RzeJeDrOxj0dXblohm81oWlg9p5HDXO3hJormnRZ59mFKB4dSWse7ssJfWbT2XRPhB0q8juZm
Cqgg7OI27euZkVLIODy1+y2aBSphrWm4bod9kEEtowCLZKqLRY89wLsdFwZL0vbtLdVHwbqJIA54
EKCB0xTVDR/daF+kzAyj3M0I8c/6YqUeil0U3lsJXlrtDoA3+CGOXQTAifPptqMo95SWgdrashkw
pybqMqtJ7wOntPeDN31mSr7IioGHIrnWWdjNwd3R6B4r8zGnIAshC7yL3TxXdWECLkfbQ9rCR843
roco5kTsabESJmi02mcXSfiIL/nv35yKz9CwJwhTDT1xmeN8oIvSublQSgwQvxu0ovI57EsDTZpf
PRLgE1O7rSgZHcx7bDDZLpjnaTsTO58T4ztmT0CpExUO8VxdE9f+6AbCQh4eqXMrOAmtGJBfGVCr
MwadAR5ihFySimzti6w8uI6DeJWnafcI2ju7G0bX/saymr3E/li3K6uDdLGdp8B9YPv0Dklpa3L8
zE6sJhYK31iXvbu5wQDUt8x2Z2Efm0Gvjky2CbK/ATznXmZqKME8ynO/G1SPbhgBNnrPEol8k01Y
8lVcQdUJmNNhWoirF4KE5VsLe3UdNW35bgLvxEamNZcI33Du2TmkJk/Qy198hgp1ciouV0NtDi9O
lamfsZeTT0K8UPUn4LiQj6wV3yfWbN1Rn1UNG1HWEalgAFHTXENlmeb5FyXP5h3mueLkISntWz0Z
N4ITV7CZ4qZ5zIXj5FuaEwnMV7GlPAZJbr8FmoYpt2OxooOYbasR+NOIAjqt/hGTnd8lQkfDsyFR
b51VlqD24m5lrJzOrfK3U2/j8rMBNdrfuUP91SbIkvQxYuFd63To1yb7+lE6meyI85TmgzYH62sC
vrZjs7PRogYqez01lM94+Sx/04HKfkT8gOs9isbZNHMby4NEFVilbT4Na18G1nvHuGux1BTYK0I0
ST8q22tfm1zZZ93k92C15JfJWkdPXz31GT/nOPU7lHzzfkxz3H+FZ5abydfebV+nikjPnzQsDizz
K/fHtDiGWFQjfNB20nLyMMIq3tYjZ3LueMt9ClhmjO3I5MCkvLAHLFrU7rgrfM86IXKg/8Qjy3Ia
cD5OlyvfZDNH8Y0CF4Vb+mV6X8CW9LrkbV6ulKM7nIqxOECB4zWbY1MfnZweadNky3YrELOGFxLd
wZeBB4pInuSHV1+Y/AAxSQ7CPFdTtuGAs2UDuw7ebAQr1ylZ2uOCQ9s+55i5MzC9OjuXqwfPTM6n
flebDnf5YLnWBzW8Nnxky4EuEH7L0FVhAjlh28NBtugHLrs8bjTQv3+0hQmWh+o0KsqiPLgcElbj
okb0HOuDLeh9yaPdNL0hEKbnqh5REUlUraHHV3pt/BFMgj/iSW5hq0zAsGQvzJZ8JM85JLCSBVk6
7UQdthv9R9NxqAhB31G2ggJYokn61R66LimF3p2ecw//HK5mssAYOsgrMY/nGuyuynrwX4e49Gt8
M7Lv74w/+hWtFU1+CO0aSCA3DfkKFmZodrLsALNFmhdjqsrZ5zKRmPVOAkrUG1mF6ofh+YuXYQNg
7XVvZTiLO0QLO/h2BXG7s3ab4dV102YPjLn/DDy06l3O3xataJKIbhP2mnd7ETZ7u8IB4qB9DpEz
RzzMGJ5PjTvkydYN8ijGQWTSlUiQNhhuUsKqBXW8U1nQz5viP6/b0rhgbbJ+nDqt121q/KLwm7Er
Zg6iHxbwBzT7tvpS/JY/DdO7jzwso4dQQuWKJy1uKB5uz1UVDTMp0HF5CeV3aoTqGmqCoWNX1sfU
4mZSeton5MtikpXh1+DqgYjN4BEbNnk6HQu0gl4gu6iWE2e/fjJOFKQaNE4U7oHNXMGAskjD5tZF
1gPH35yXp3Hg1xZW6m4NnWp+6pDZJ7UB41PlerRaq7J/4KrrbabGFeRkkeXYusQZP4R90GTPQV6G
bEFpHZyzrCwvEKnJr/mu2z8G7lBuDNlUFtkmnkbIZv0TEBxYzVIFDOJa+IEFA2JvlTYdwhV3FUgy
TnQzh9BlRsMsD1NemwydKg6lk98dQndCRsdrgV9npKXd0RktcHIub3NNN3nIyg94ss+4qRms6a7T
pdsptIgDUfVIDBWFtm5K/QiO3n2i+ZFC5qGMOZMYrn9hQtahVWX6MFuyfJozE69EAhbkwHtJbLsL
XqAn0TKAcI1ECEfCDhY4UURs2i66cNdZ89HiJ6Qh1vD37DoMu2O8YvfGkgUE4G1tSO2wYquQnFHW
GxcfTOQhC4VzgIOrt1XlmXuJVxjIRcnHsrTs8qkI6/oljN3iaI6hT6a9aesvAq7zg+OlDLorj9Mk
h45NZw7OLdDa4YTfw7gGo9HDkKkKUuAYpcj1VLdx14TfKfQAwvezc8y9Ub6TT+N4wvgcaH4CCUgx
qyJQlbEy9ahfiW/Ve7/BhKls9v0yJXi+8vKRNyIc819cpgM8DP3Q7T23ZxVQwtnXvGDY99N5j/9T
7bljZ+BcULjxuWD868IzFnpnk0adPLUexrYcXvWZcRdl7T792oYqqq1Ryoly74VBnpjtM9gq6L91
8dESlNmWFZwZNGjcgRxYtn06eVtdAp3d0EnvH0TYDl+IHhNejAirql54313rQg+fI7GpyP48AO8F
YBdYuDHgaz8kbtbcYpAnMmBKL1+ZNHB8BdS6bt1u1ntjEQpBrbQH2j/EoQ+r8jFgqX2heiw4Ankd
v63BrhZbc7wFBmfzS/TGLmhA4WVe/NyXbnpR6C43puVlBxvWeuZayTMDk+7AVcDgfc+eWiY5hkrw
sTidvyUdix+M92ztVyw77LKPDQ3oyUq6osIhaXbxnVKRhzvYVEeeqRhOIDGwsVFi4Z28RhhAOJ5C
Ak/6BNMxg9qjleIEda1m2MU2HAi3dw49Y7RXSPD8P7seqpEpuZN6KiRtF0rSULUgCFsOV779JYmc
al16dfhcE44rW8PZW9p70yXD1wI5nHxNXT105vxihEwN+MGig8jNdGtB6aXiVLB76c85S14NExYl
x8IGYO/YHAuZvHkWajuycX8EkPlNBupcxATIOq+xt5RykBJT+Qzicsg2cUdRRxT/8tqGY86U39tu
k+zZavY0n8h7jCVg8TKX0V8MWJkIhHHL5cO56yZP3TV2VdxoE39ZO7q484k/IlqNz9yn8Z1wD1Ai
QkiYvnITp6Twk3hTKHZjnH3DOhuzS+BD958VBCs0fFs34jIBtTzge3jvpnA3J8CIk1HF+6LtNJ58
r1wZMk5A/rZ3ws6mNUTrnZdJXtckkLcC5WodLvZbZQaXutEL18IC3hMI4zLaLShb2gdWcL2L275h
dbBIw9e6nm4pqxHbxu+ozQ0rAvtsIoal3zH2f+QEiDc2pcOvYIqcLRua/6x4ug6dMb1RIaxWeiKn
NdH3fcY3fjOa5U7gPOEhU3y5kRh7zAvY8ObqsbZbsJ0oiMyrfXHX4fRKyqlczZm+mxtrZwBzX5kW
8bTYzc9p7vTEwcqPxsA6W8TTbeoQiWp7YpOJPX1bnR5XCj8COtsIcmoqu6NdB2+ZNyFnUFCyykDJ
Yu7xb8whsraDNWGqQg69gnbFZTLH504BA2prUE34P+9mWb+nnnwqyOLuq8Y/BSYRZD/LgE0tJgyO
DNc8nI+N5xzpIKFPwOb1NviZrESrXYE9weeot1JWjSIPMwQoCoCMtHuoxlSssVdma8jZ3nqQHcnh
2kx3qozvcztDdjRjSo6wOKy8Ydg307L7pc0LQ7d421fRZfSmnRM4Lc1Kcp8aM7HmFGCT7t7BYzHz
m+RbmoQhC2t3LzShtwbTwwv+gOIQS+TLhJzxLppU/k726Ce2m2tOAffBK0Ouepl/Atj6MDTVJ1DG
j3wyz25LXjsfYCzEVQZ6S8CUbQddvMcW14uW+QtB+53wafAJKmLLXdrv0IUwWGWQIaDnP6GK33KE
g5VAOGmd0wS9673w2PjVLwP8Gy5pzAnD5DK76dJ83dDNsHaKhMEg9ocxTU5g9k9mieGz7YlYZvDl
VgrSFqP4EaN1mslbw+NY5GeexWY+g4Sfrb4nxENIWAwZXxO3z1Hsso+FF1233XZI9LCJ4umBERFw
5Tl6Ms0KvF9xNTk1HA34o1yR55kX2H5jlf5gGkqp0dQ/yYh1p2bdXTAOKZyVRK77SoOXobJ6I+P6
KM0Ovy9w16B+poGLdoO01oyJk2c3rbDPt5yxTWu6l2Ho0FVfn8RQ28Rup+wWu/nWzucjgt15sotL
rGsyms4uTpzziMCMw4ntvUJ9LuatUw7HLKiPocSDGuaXwuc4p2PimBm0lnRmcyqRGkhu7LHW5JQN
MJNsgM0nzfxtSQDq+DPdKSFpCfLPRcStau/OjCYiLXGOnOAFJPKNNSrP3qq4t+Er3MUjROeojX5H
LHfrqAiOUSoNzkiltZbcUDLSlLLgAzTBvIvT81z7v7E0R0Qqs/JYkImWVVvedAmHIPz6INv5xNZH
8pwnDy0nAYFb5e2xGT26raC3Crv8PdfAT7V554bF1WrLj7xzvBvMoskOxZVlokPNsjhVZR2e+iD2
96PvXNGuuq1VlR99NR2G8tdUqE1Q6oMc53dQsB8lVkbH0+dZOzu+Lzi2zfjoZAEn8K54rvwlEzbQ
RjXfqGh4T6p6PTbJU+s2h2AEWBcHBg9oNgj+G4P+QNxkvZ1c4yJ59P2RFvIouwxZ/2g5NdpuAo7+
KfZb+1B1ZbQ17OklAZAhZCg2iZ2IrTKL9nEAY4zQK7v6mP25yU3emNkbtxUko7nWVsEhd+b4Z/I9
LGIpZL173GKQjw3L7RMQjz5xbTIYqH7KFPZ7AAwbHWOK9ZfiX9erIKuc+KGFs8tAOaqYEeuIb5c4
qAX3PItYSziiegVBaW1NbsPECAvCjeuK3To5uyzVyWvagyxOjfQQliFo+zzJX1gyA/tpxPRabqgN
sHAdJ0w9LUCY+abrSutVJlwkAoo00lIV+zRzZ5oZmMsPaYTfIrKy57IvZorYFfYpWu8YHBBDc08y
qzvcDBVOADhNQyPcT2bOMWNNfGmPGOBADyIk63VTjouhHH/HN8EkY1iFgqfy0aRISt8YzBCIr4n2
mGdpin+4D/xjmZW+c/yfaejfp6EUKS0FRv9/3NpfSpuWGsrHofgrd+1f3/6vyShwtdB2UDwcxxMh
//jLZDRY4Gq0SVp+4ApBn+RfJqM+fyYcN3Rx1lmm7/6lvMl2/4FGyyAVWu2/gLT/+3/9W51997f/
/deORsv2l3amf6POBsLmP8ImYk+fqf+3xm4yLSlDOSxnhB88WPfcNJ67hTW2s6Cgk9Yt2uEX9Nnp
LRtMc20GFephOEjryLxEr2v6HB9dByy/HbfTAVcxzEO3ebX8YviO2wBLFhOlaz/Y0brVMW40/X/Z
O5PlyJH06r6KTGuhDA7HuNAmEAODDM4zNzAmmYl5hgNwPL0OWH/bn5VVSpn26rY26+5KZjAiAIf7
/e49F97lpq2T8TaxZWGx2YQdvWBORR8yscyn0SjeiNuMd0EzTvc0p1XPc1Alew6q87mfE5QpkSJw
QurxxmtT2zzItC4ebSsHhyQy3e8n1Xfu3vRicE6B6r1niwhPFlYeYw9F4OB1nSDDdSkzTKJ4LD7x
+/J7t433ilfT21qkpuog4KFrL1gWfGpCH3vOZlf2wsT4z9wmh0ZWn0lgbWk91iSMhWkNJJcZ8zTr
+Vser+HCwDQuXCaR1y2Do8uahqpX05KZOsaLYMmyh9ZwX77EKebElPJkROamal7Z8W0lX22DrJs9
5vND2Y/WIy74YJOD2WZoHOG52k7ZxCfmTyybqujp1UjtuT6xXEp6GwqV3E5ZweQiDySD09wgU/kV
bjWNKf6s8/UNcqmokjXRau+nwS8Okz2znqZaseJimEnZUNnLxTT57GHjgRpLvN9fehsTf57Fao0+
JkwQvuKBqbDy+1LSBka+B9J5JA2bQS++XL3rmxg3DSwFJttgOqbzqSFFUY9rmpWClWt/irGt2wjo
N0wO/C3B6szYdF6BJ8pUwUXKF4l/0MRSo3XVPGuHptTM0hPGfOhkN9D9zHFXZGN6rm2HeTJNCD1p
e1HfRip2P6ZRe7scnA20FuaxQ18iGxXXE25YvfX9WpzFeK5gX+BIOQoB490vZPKkLG841LMfP3Lc
zrfjQK0U4nUnAKcw2VtLSlQEnSySV51w6pObNt5tAlH3WFnzdzb69GIVU/Y8+woYbrqGfWUZvDac
SR+jSdjTiiBtH3scMTugT8Uz1i2ZkL3WfEMRmP0dm9zq5CKQvwX4YIwzs3Dp5vgKkk5mtWL2MJpe
fs3Y0I8ZntHuRzw6UaD8a2fi2xyXsdjaUqkXsGDjdZKCzOV9FhlzOqSnZJcL9tiW5wAgAEkcXZPL
pJSgcJum2KG/+vG5SdIEYFNvQy3wYBd4571NUhmLFYZiBPJ+vsBeRIg8xkbkHSfXIRlXLR1HJIPp
x4xnGaMAD6vo68E1ZQNKNZdEwrkimW7ar+ebnTnWHGJ3UucoZNYuqyio3yCB08FZWBm38vqE7GAP
1tvuz0dnK+z5lj45+5McGmP9r8esw6r62PBrHjAjFIdlcTbCyH2M8UPPH3FSh/wcT3Dv62E+fT3Y
u6+HvKlGfVsYhJkdN/rhfO0I6q/dQZOMUKO5+qL4hiAWO4h2tOVbzZkF8flro+F3fCL9n9uPnMTU
3VSBGqD8KO2n3WTV8rWefFaK/GsnE1vrrmayMiYTROnz/sv/By16zONP/2s75HxtjQB/sU36U/xO
+aH6yN60L7CWdO6xpNToNCB3k5F6xWyCfqf76APaDgrhaPZHN61vMf35TCGSF7BfjOrg5GTC6TmN
2h/1wBIfcWb9TErOKkpG6aWT1NnVNJZnwDIBgwz6aUj8R42XrFPelU77c1XiP/WLU5n4n37c3hsi
O9Wyuw04zmy8pJ43cnbPaA+ob4uBYY207Nt2hnfRLM9RLD9yBb03yLsdNXW3fNIefE+dhalwy4d+
tJ3nluoGzDIgGiy2VoeqWvQ2C7hkfFPdMzZEcQgA9Tb5B7MmoAarwT0ud4Znv7o6uBtQYHi03Lm9
eGRbCuXNIupvmteNoy8iYTL0B8zfVC+JB+05GS+DKfsWm9bJDdR+9vmN24SDtDeb+yHSd5QTX3iO
yvhHwzVn1y0R51NRg6HorGBPhuC9snggtQHjOwvD/1gshwZ97DzlnMDDxOSzdm2HO4CS1aYqTgZD
VbyoH7mTvVQtm8jYv4fOSWbYephqEweJixGklylHhn44Rtb06uPS3bhT0a0YKj5gspX6PS2RAHnu
7Gg0DXBcp1ZN0YboPjwsS8evlEvPlH3jryyBL/DAymOoGcCdrUHyrxD1nxnszsJwU2cgh74y0SS0
nwanWO5yG1AByU3S3DZPD9tfr+JqtU0Vq/+GfTcGTJ6MoD1a/6DsxbuL8LI+yxX0YLITPZRDn0fj
1q7S+qyf8bbgU7xJuIf3SN8B1SJ2d+wU0k7mix+MZpstIcXlOR78eD966ae72A0n59I6awbfZ4bL
mBoFUkdY5lX0vbVxR+qUMEdqkgUqmtHYmaz3NPokFaWFkt0KwYJxP8TRqfAdxv4Eq+nry7/NHFAN
f36i0Q0aRBAn77yT7nbuituK9fjMbrMfhjLGLb+BPDRV/82v0yqkCq3Ylzm0jxELLg6KNrE32WSt
zuXgba4VLJBmnMPFrqvjpIVi975SFDPlhcVin+RYXhidsLaNcO5JxtjH0hze+iYBrFVxguFxXoib
ATvXDgHgEIzDXZy0e4uRGTFZu78CReIw789hxOvuiJkeXlVn3a0xq8xiCc9xiOAOTc1tQVrzrGYX
x9xlPmtklO25w7FDERQ4793mxNDgil6zp7xIP005svwzNUG/j+9NEnRWonfliH5ttajQobuq0xtM
6U8GYcBzlg73YBVWgXEsZyxufyN+lIdl0Lx4yjj4vD3GAeQR2Suy7NvzHYpddDOLaTisvquNzKI6
dAf88D0h2TKzjn0a8UNK2OpUTzSN1MXwI8Y3XKpc3ZPjQW0Sk8emTL25bmyDo62X77oUzrbzVbIr
e0JpynHwCSWLqsi3VkceU9/GOfvGlqjQVFwNl9LPyx1Ys+DMFFaLeTYRVz0MoTPGQ9Y2UeXMEj0m
a8MhKK3Ad5/mdkb/Gmv1tkw4dg3zcwgg2YNH0Ue6mE74BmBUMkcc+yUIs8koL0f2SmFVE0p0fMWB
cWI1MQMCU777Smrryu7i5Tav8YT1QXre4jzeNLO2dy055C1vYWEI2l/hazljicEhEtj3VjRfw2Yg
HeO0d/UQU/8Mm2lHz/sudpMs1Pjf8DD093WUHKmycB6BeexNqc6SkZEieyqwqg4RoBJii/M+ToJu
lviCBXqEsGo0G0lt1IZoKyAB4lbJnil0aOBqAoLlmjiQhdjWHl2OfjS/YCBGYRlxH8oMbxJmjGhT
kw0p9SIoF4q8Yz7317I3ClosaZ2SzS4fxoP264MhltfeI94SJPnwfWgdsHWra24phlefOemtN2Tf
+azIozQgP+1TkyIB+YNHZTYU2nl22JYHEp0OTv73wBqumF7sy1RfZFDwmgpnnaubEVJoBQ004onq
Jy/MxD9LawKVNAO67CMdzr3k95FOREDRS88bK3jDmTMfhjw6wW+iV06M3/0GYyGGQ6xrpU1abpCg
wZz8IS16c1NKJTbOwg5PZBH6/EJFTZ79iAz7MyqXl3lpdxGtUY8WHL3Ea3dQkyhupnRrj6OenG8B
gd8ViB+xow5ZlRwllurruZmji3khVk4nOlK8yehihIWxyRrp7FpLXbIJWnFRKZGntXl7obwKa2R/
RhER40YnfipjBwmhThrMCoRKXdt4LuAcMPtKaDkn8Rjy0VsHpzWDsJjYw1rmQrShCDqOaOuqPrr1
zia0tY3cHgiVVqRcZs9dSw2qM2UY9Un3C5pK21ihnxTqzFoztGKADce0Rx4WyF38bCvOzYTHG8jO
8Vhazgi5djoKrxcXlIBzOeY6ftHDVO/TAlEJkPbOVtMBxYMKvcmyQlEAscTodVWmpMzt2fPJtYKt
XlxL3eo24X+u4247rtPQcyjpMNgPnXlL/cS1W+413WlXsup53owgIVjwEGfs7IUeMLDHE0JlObCB
A47q8Yyv+nVTPYemCV5szJLmJk07d9sa5EUL23yfUwwcjIijbSsUHSas1Jxv1UEPNPvxke2aNv9e
FcuVTfn8vtLNM0uw2HuWbewzhz6KwDPpI8nrYr90fJ/+AMytzpOOsTeggpY2rI0XzbeG356WWoJx
66G2hc3g3LKmosRVLsWgVTRsdA6MqBiH/GQSfmZnb4ybKMZN5yz5eUyQFjo6lImymb0P5XPR6RaG
m2B5b2abdjCrSNGMl8cYqxpeuJFNMcwzbLop9iSruR4N3bVYCUwPvYsbGw4plhxqennOMNBl5xFd
LQ1vwS3NnYmR8dGk9uos9nlRsskfkofPuWrdfDdjgA0Ds7J2DTT0TR3BJ8FIVFzMynVehCXvOh70
hyyKBFaXQlyNBCJjF0+c0XVvMgWVhGF7ZRw2L7RoZgc1xtZj4qXWrtbk+OlcMA/LGE8XMtCv0OGx
ipCA7ZJE37HDWb5nDlXN1JoXIMqluuRGupJxn0OrM719SoPn0ZxmlDXdY45OsPFhv/qYZlGcD4v7
ROVhv8GBYm6momWcnWa0ZEGdw97nbC3bSV4HIvFUuoI1xJ49hanvvTs6eQP1UdN4AobWSUNklOl7
Qun7xs06EcbSeoUY0PDgpXNh8rS9tSxFRNXS6mZw6KJZiqUhl+ew3yLbzEbZb/Z14CrEbnByPQLs
FrGAe6Rabp1ifmMUico9Q5AgDaI2HmU91KzqXZct0Rntot21B0iESVfNo98Upw5c6G72BubweIR3
ilsxzTyJCEvp/JAocoltWt6OkIIPdY71LmO08qMeUVO6aAz2uGmhgRPhnecGuIhyXmGl2G+uEN9a
1/vsGMvuZZXYH5Y9Gs952ZFmnmLsOIFTnk9pzkykhe1AAT1C/uAKhlgpeOEULrBZRfx/goNkbWLO
rRKYNF3UG2zh8xLbXUB6ydYKhgIJQ+GvUyXgPocBg+YG0/HM5om2zqZr2VWhviEmBcnJi5W49Uzg
o4GHFSN37jxqYWbe7n6Ufnlwi+zVN6IgDa1I45znqe12DO9KC/pWDwJh48z2t2jAuEDjBil0GCCv
rTERqMznu6VLzmqOWahSIBKCCc3frZHfsWqN3EQ12TuYKz7rCUFkhsGByTSG9EvTBS9l3F5j/jUj
zE2Ng829EQ9R2yy70kZ6JqAIMWtTMJVAFYKssF/yJr7rMSstt5OBL4jOp5GBLgMVukjKLPjWVdSX
kTxquswk+dfG3RkrVtufmoZQI72Demeb8FZwyeKkn1bju1+Q4zvLq8btjV2MPaX/MCX2xgs/I82H
/Z/uwG3vGyPgxgZ8s9UxWwWEP4KFnqlq65/QRLy+B9cl5iuB+abdtQLBYBsb9JJvmomoMHaqNm24
MeFxPSoZ9BbTuPGQ6B5Ltuxo3dyoJANQPMkunW7isksxR/AcvyCzOQKfGbXPFIeZNLMWBgLQhcYy
oNJV+R1uQUWyir24y0qbDl1wahYqbLdU/GHEYpAAgp5E60blAU5QCbsNPSVy8Irm49Cc6sxNObry
xnZz76QLCpukBcls8/i1hTKAZD9KhsMzf2sX8rIadnJLqDwzhra9omQ7pwZB92Z9mkcyeI+Sepv2
PBim9AyWn3/pLQp4cUwzRLEdeF5mx6CIUPvYmWcPJlzAj3YQswpzGyVsV5Gf8iEXpIG9Y4VsdlBZ
xKbTI1Z8EZOeELbDjThr5DTLlaMC35YQTwY5R4Mp+E8uxSTIWNo9NdiUlVZVQyujLh5G14qzg1Pn
VX0WILVgt/FhJh0RxFKACdMWB5c4MDWP3PN8HAf6r0HjQbPBYEz/V+zg9e/o3zZ3pEZwCfKl7OoW
yxXPsgVgfxS6uDNM5Z97tTLPunmsPoRb6/gkmka/ZTEy7qFLTBKiqY3swRWtiKy0HysNtFkg6mVo
IfWaYc4dWJzuwRzKe8uozo0x2TPpvI0H6wlaxicxwLPOpFnDs06mpgsibdJN1/OoE1Vx8LLxjYzM
sYUVxyj33a37Z4DZz6zm9yA1Ioy/sLJJV26/WD99VurQsW1aQOvNCoTkafiGXHiHB/bUwaz31Qfl
c2/k4IDg6fNuCJyjQw+9eWbMEkc34d/2qOum3Yzjwjm2aZksTR1gmantg+bBYfxXOw2N2XV/N5Nc
pDN9LF5oXeeqiBVlFRNXZ96marN4wUg6WRCO6cNpSBz3lnQv9vCFIuFQTsLy900N2eiBGat70xpc
YNuKzzg54k7lZ0oIF0DZ2Khljxgwv5VZrO8zLxl+wDoKvHOsPGvhZW8462OyfUYumT4auwcKnxBE
5nzXcO/BXBJGcjaN+cqzlrQmngViqZZwWroURvgg52c7WBisJiNmRuDc83IaeM80Nvn5bJ3rQBvZ
WRs00N9nvCzDJoJrNx48owJTkJ33C+vwhv0kTPUyL9WwLUakX6DXiHQ4U9P4HWZV5PMtScYDbRuX
8aWRCBMHg6s5l3ZQlLy9HZnmZ5ZLIO1dJPAHDZAxj4q11TgJ7GApAZ3Kyw//Nwf72xzM863fpgLv
0vrfDt179fn9n8Zgf/70vwKCAfVDKOYeDkFP2tLjL/5XQND7g6LDwAoc/m17xGD+/xjM8v4wfUih
gSWYnvnWz2MwKf/Al8x4zPRokLMtxme/jL1+NwbjpX6Zgrk2fwnTL1tapiWE80v3Iv8wxzaTt7tB
ujduGzckQqalJtoGocgqbpD0CNaEbmn3BKrBcqzdJNonzVRgbS5NnB8DW5Lu3goqvJruiAC6WWon
7t6ZRRndzRL1Jg8pLMAOaMqllDp5x/hDY85xKnx8P35vwmcMnZHF4NL0UtspzsTSFpO9EUXHXmzj
GSM+36rMDO4LHPMJ8LDRgxr4NiGQkotR89Bd4CAD4oVi1VNjW5mqDNEa6CRHW6q8SwqxwR1M9UIz
ehUbF3B4gO1gC0WiI9PC35gGQ3fyMwUI2JSJvmFkNf1YgGWAiwPe/JzTG+RvFp/bi2hTHXCMY1J2
zolmiLZ5D+Zdg42jYBmf5odJQ0i7LzOg0NB00+A+rWr3Kaq77imNhvpel3GNccYrzGNQVWuvnnaz
+8wV7bXntc4ln7q1FsyP4qhEl0d72XTVW5Z39WOkMf1jrQMbLBcL21tddckP6mfRoLyF1YRlHGgk
uTSzw5fKuYkldp6xRERF+g5Phz2EwYnss5VVd7uYsnFXR56hdgPAJHanc9rc+HFnUW9LOx2dCpEd
nXIfYzJCa62fMmdmi1YEmFKYLKDubeiZyukBSZs1Kw6t/Ypq2fGpg6JEkl30NEtHvLX7jEOnv3dm
03puID484kxL6PwsXM7HMDR4oKUgAJJ5Vhfa1QN4PbJdHHAJ5dzjP8BQCCgxu04HOz6ZPUnByo7U
Tplt96xpn8BeLXE7Jm7x7OBXvExxWyC2sX+Aw1bgOkXGUOxeGhww1NqCLDnlLPFqA78c1PDglhQt
p4kk6tKV/l1NYpzAkkrMmyrVy22Fr3JlLs/DeIYlzPzM/U48EnRBlM7SBYWm97j2QkK4XYReVzqX
OgYO71g1rQ1YBqcnwvH9q8E+nKDX7IiXLIugctPuM1PloWZCbAHbx6MaZUEnB+3x9y7HpGvPLvWp
DzI6wAx6R+7TIcCQPA+IA6T4PazNJlJgu3pu+3aTuvnyvU5mSUgsN4035Q3jc5xjtWBXo/KHCinu
vsYWjmROYSWNQHnt0kZiUDJjJlUJDtHvoa50VdnDq/eoOICHmtP725XFnTtW4zerH2D6ZQSWrqG1
La+RiUGGtpC5eihMV95O3WiJbT4V1pWTeRhlYBshLk7aYj+fWjChfIK9H5SF2TeZa4JzqA1SeWAi
MO5CopqYaFmNC2wVS81jiUP+oRdj6W4gpZYvbWaQq+CcnD9D/Z6LkF2afseAM4CxlSZMIR+j25r5
4y/2o9Y5d3wTb5kS+NKh57jma9la8UuAUXHZDd4irtTi1EQllroOU8Pvyo30iWfSM0ksE/braJ0b
9txxjTCo/4g57jDDgz+csBtlELhJhLFMYQvN+Bt+MGbHGJZn2j+h9FfbsmkayS0yNSc+R/8N+xTn
HyE5hca0L847znDzk4vu8+CInI5FY86aq7KoKohWLWmjDaX1AOs78FRFSMMh92/DH7lDnCTm0JTI
PJS2MqaGvuQaW9JBJf3x+M5geveG92MuQMscSOwEKfuVhlqdxB7YdzF7XFBfwUod3GZsrVCKBV12
SQWstUw3JJ4VbOR8FxNtvRoyh1MmlhuEarvJsheGUOlDEOXBTZmuXTQT+CSDrfGE/xY/qmVugChA
pNKJW70TGWwwACSSzxCIrNqQV4q+0QzSaGxabca93iaUECVqWFPfblmGyCsDg26zLVImLZA2KIwz
0HxF6XvXgnAuYV5bLce+7mO8a2qEBeEviXXqUX0f47xb55MdsEk8WOjBftdA6hXEOH5M0ncB7ZUD
A63O9Lxt6luQiKjWmMfQGdYTzrho48UJrOkKdboQW9ha4kHOHva6NieavKEOAo/alAPKCldAyi3y
KeNWmeZJtEPVEYRfTMt4nFK5PGJoVCK0hGJqwhhNvdtZL9uQXCnlXQvxpmjTpiSLw574EBVWTOOz
ZkCfLOfFkBsp1ppgs39AQ+u4oyT77YpjKe7gEpx5bHvDgjDSTPNOTM1CKjuuICWOg7SoYrcAhJGe
CG6NihhbGGCbti5Az6dPYhkVSYaBySknzInkrJWtXlPu7uB6qMhG4XwwzJ5TT1BlR8qM6vp2ybXT
hNj6CVr6DpyelmjtZhQsMAy+284JeZy7uLoIkYC1xG33PsrJYBCsIATuedhjZXRmHmewCyfQbw7t
DdkW+J7BppXcytuCabe45llEZ5HizEt1aj3YajP7mlUI/pKVnhcEo8rLaUz9G8INgE/luGAIKenf
s65NDsFTqBZz5MNpZfkJUE308H6XaN7qWSQUhCROQgkQH2+3tfGo0lCvent6yIrFI7xQNDQgeAQZ
7tLWI1nQQoQzmIvQGIoI2ZXfi2pGaU/jKmAioQdn2wJJvORUOrxEQ7R6P+revWydoSENs2iOQDBM
M4FNJRJ3o6pxxhpEbK9EJDg9zbGGmi2mQADkMp0CA0SjH5EcMwa3fkZBxaLpE6lL5b1zDTQ/aKSD
2GXnwr6j8J5fqoUJhm7AfuKt5zgyhCO1ABALxs6/Fg0Yp0Nk+8sbtHnzkp3naF74ViE/J0dIzl5G
gezZFll8jPBgLFibzeoaEVlSudaBYNuAHUN/mJOSm86bSeYlukTzrG2TL3AEdPHAZg+bdKtcFs/c
7IOjIZBHWxSCdEszmbq3YjmnYSX1dCWUhBOHVWS8ZQYDEUFgsjn1TUoupI5EceWlE27cwuxpI9Lt
HGXwNo3kGXRuR2S+V158OxG8/KTPc7qnz22EU0/ij/1plfu3JC5jPhyvja/bohzrzcjnv7IXxutJ
N0mHLlswv0HN72+IgUYfedMsCxgGmjXR2n2eff0QF69BwvMbejHH311kFTEP2Mzrix27ffuDcCVd
Dr2FeZTK7QFNkoKOV8d3XOQRRt0fsWg7iLtR7vub2Z1YGzKH1MRG1GJ8aOeyLAlR4O1hJyCBuFiG
7n8E2l2YSYEbTEPO4XzY4GeJbTe+DTAmhf8Tgttwvzl+590yl61uUl1RgGf2GVOoKBY3Fhd5tzOH
mGLgrmuonllXeb2HHubQujAPxbtXtOayW+hUN/YG5RTBtlpIZZWAGBr86thKn3FNReV+tmSUb7Fz
+u1BICpfThbm410MmqBA+ECSWLVQ1ZKKmxsBeTbwPvPFg0Nm94I/XRalYorn9scpEQjFLXmBlyXP
awwt3kQXV8cYj8/Qy+yDXpzECsvSj3skqzlj6NHm043Wtg3afVwWRZALgLsROGzyY6QYWpbcDIvN
gJ3qtagWJFXBviD7COJsZNhuxDTxRCI3/AOeI1BHHmmVYOtSJTX5fAtDld1Pktn+O1XUAuD74ubx
o0KVppocIIdgyx0LCikoIoPuGzin/ztL/8NZWnCg/O89petZmnP0+Xv1Pe3qv/hJIazyo/86SOMn
dU3LwvXsStP/Osb+v4O0bf/h+wGnVwnvQTqcmH86SNPx64LrxZdku7Z0HM7fPcS/5D//3bDkH9J1
XAg90grwRfFz/4uD9C/HaGBMnseuAVOraUpGzL8co7VqxoxzG8z61R/RMnje+pG7/Km//MXF+rNr
lV/3Z8uq46ATkG3nUCeF5XDj8c8/3u/SKu7/89/Ff9D9Z0FTsJfQkBSRCnJh8O5AiSSxXrY/fQ83
f/pgf36pX98QL+VZDsdwD58uRtzVPfvTSxW+5dKNGsMoVW1yAR++2hdr3/XvX+UXD+76hvi70W0B
E7ke//rrq9goDyVTUU16LdHXHUyZcyDMhKy0VV5nTVk++pYlbn7/ov/wKeL2hY5mm44ENy7/+qJ4
R2TXNzYWXoMuhVF0GMbsobwVg1H8aRz/b78wS/B3/WQyXt/gai+2XJMXQ8755RtrFrdbAs8gyFXB
JQ/ZqvQkFNfUEptg3z9F3uj9oLGxf0E9of+THdV0qUsPNh6uy54k5JKVN5ALoidnqHCM1EHOg37B
CtUzOXWtW90notrh9W3YfXYpUdTG9Oe7339kYjVD//V9SHNFSPkespTkP3/9zEAhZ9XgeXM48TCP
2O4t2n0BziPh/8R5fCf8EZNqgpp6l1M9YSNCyiw9uA4WlL2dueN7lxNPiXtwzdtWE6tbhmgV3xvJ
cPf3v+z6mf76u/IrOoC0XK5d55fv11Doy6ZoYO7GjIXJea+036p8xVbGI2FqRv9cN6grVcrk+Pcv
/fdLi/OlSS8N0p0krYV//ee7xmgZjmmBO7wb/Ld2GUElCGVe5zWZk//1KyHYOS4iovRxxf3yJuPe
oTgqsJawYnZA+suUEcPcDOAFvNvvv3+tv68FZHJQGuk7h2mG9PjXdxV7wB6hB3IRcxbaDeAmTMZA
579/EbH+Lb98bQGLtCWoSAks011/i59WHHogYE8sagzJXtGuBZ9gk5U4u8kFluepWuqdBxmXirjM
vgykX3x3Si3+h1VP/H1BkgFPBehsvGEa3H65X/VCGJMKqDEckCanTUnlyoVjtGq/LF6+LyOwomUU
uzslJjzn64TGztf+Vdzj8k0mPuQgcjhn1E2XF0kdM74dos45DaLym//hMv+Hb2VdMx3PR74Qtr8u
PT99XqWTkKUtCJrWPPLIaFLzXRJ9Ofv91/JPr+KZgqeu9APbXRXsn18lnkaLvEE2svmnZpwjtAid
Gk7V71/l78uLzfPbdwTMS8fGUPXXV8m1BJgfSHwE00oTYv+4TQ3OJOCwW6TjOdr//vXk153416vN
tlmUMRMIjD+W9cv9Y86BlyPpwDVrG4wTMgCGtmHM2j9JRtcpRuHecumKL1bqwzy0D9jKW/LujmT5
y1XgP8uEsOEuo0T0m9tnSQC6qzVfF6NiqE2N+TyBdMvUEyuBcTfMQfdswb/jBzi/nOWBsr9rNXKI
LhEPyj2+KZodAi2wInk2Q3jMS15PrIKzyg0NSYhRbdU3r0atUZ30OPYPPB7nJDRJmT63YzGBZ/DH
FI9e4cNud2GyMftSxzKawDupGjevVwT0aHSc0R7m3qSsCFc0SgxjWYMeFkamgJ5jmxg1E9DmMJbT
tFrIIo4ovajGV6syA2AMGtqXmTFVp97SW+nOLaIeoq1jBcys/OalG/r+iWQZmr6dgcOihHqwcb9M
1XLJ6Y+mqkbyx9pp5cb6RonOj8MvvoD8WxiEYpZePQcaDNLO9Yzs1YVGQti1deanoGBPv61SCEGF
9sQPtP4o3gbQ6fots8nlCX7KVIYoAU681W6lKd6pbPOecwGOo4VIZxQ27CesjaUm0sPV1IL0hcTr
30I4HRc+wVgB4ZQLU/agBHFDIYu4gjzeUUuZNMNr6wFJgUdtqA7k0Wj0+/V4XJ9iavpQXObBzI41
kNhahTaw5PSRJAOFzvBrZRaqoWpbfhhmHV1g2txUTGJR2iKch4wcKnE+VAtWRt1483GAKIQqKzp9
SZG0SbR38ICMpK1De6STYRLZjZ3UH4nngd4yAHBN4UpZy7DiTdjhxjkRVLrDc8UAIrzuSiCRZwib
IFDldnS1Ht4hxrnVTVbUYLZQJhTajVPY7cRIop3dC5LOEc7wrp1PqGvGFKIIYsxzOY0B0yhXFl3q
GP24xYXsB0CemGOE4ITwCvSYAx9hu/Y0mqe1B75cDZQraorY8b9nTvKNxxcpGMgltsUFR6UgPdpB
o3akMt3nHAsdI5626d47ULXfhtzBfonfmFtySibvSfUwSk6q08m3fsZwARqquHdJ6t7XCx1GW7iw
9ic7ZUrhYUHX5s4SCYUD0wIejAA/NZNzEi8I28JHp5WLMk8iALxCZXhsXplk53GbYgj39wY+V/57
BKVug1zkBtvY5sYgWdQW9GdqJ7hpqkxSLrIkzO3Zqfs73Gvsm30CpMRG6hd/afSnRS6RK6fT+r1s
bZQg8lyGEY5VFxQMlfya4UBKoNLCfLGVLpHL3ZjicQpji/7VLebP7hw7VWpeVbqX5/VojrgFNGEp
eMd5m21VnOS3Nu2g+Z5tWXbb11brVMy22/a0fmM1beX42a+0U+Qp8M+pTEMjkEO1iydNRB8XId6d
LArK66Z2yU2w0jXxpsIMxwVcmBguMwfCkUF2nqmHTNQqHbtDaLUCdyXNY3YQloy5rmfuCSyakhKx
uqFs7Spmv1fQ5uU1SEaYMoFYLS0MQVUMHzNoLkR5bHuAd7n1bxg7oNV7AIOu29wingM5ClKuX1H3
Fipwa/MNtPH0ifBsQrsAbQvJeTnGzVmlStCF5TwJ7GBJN19n0md5w2ctIcfpuJ4pYJq9e7/Dsn+B
QsJwaLBshcG0s9poy7eEuhHgNyDYpjgeiMocH5Dceh1SYMj21ivbpKBRzOt3us3XflKjK296UPFc
1GWTdbsynaInlmjA7v3cFJdqQF+w5NDXoQ9Q717bujGRrXXxJFTLp6QAsOEdFU75LeF9f5jQOaOD
TPr6o/VNvGsNZ7B9lmgKR5kZF2+2nstmlyQ5Gl+Rj8hkmobhiYiQXIpL6IdYUUU66G7fUxrqbTJv
iq+UB7xrJ5rMuzNkJj5SoaJm7yZRySy367BA0xXkEU5s/4u9M1mSG8my7K+E1B7RGBSTSFUvzGCD
z7OT9A3ESToxj6qAAviblv6U+rE+sMjIJJ2Vwc5a15JCdzczGKD69L17z125jQk9k9vEbuicaMzA
j93Yh/jultHNI0HhGWxoZAGc8yw7fDMqh/wG/rx3jXve+jTHk2YjC0iL/UXF+3MlwiTcJAbEsdnO
rZWa+30lYs+mLBdbrWiWLDnPCWc5I7Rn+sWr/Hx4YPxvMwyxHct3Ocv/+CoNiyToiUACBkLvYa6d
zNK28yNNCWMXIOsCxT+h6o1Jyvnjpf/XD6fFP6bzXxo6+1mSqnf//N9X2Zeeeu2b+vf11/7+Y6fO
xD/+dTO+9Wro3367em3lb3tiCl8VPJ33v/PDn+CV/vZOolf1+sM/drXijrgb3vr5/k3y1P3ZCFl/
8v/3P397O/2Vx7l9+49/e/3Kkx5lAPuyL+r7to6DaoFL+s87QlcZw6DfDm/9ayb/i1/8Wz/ICX+n
k0q/wIKS7Nk4zv8hrLB+X0tVTvjuemIVAfcJfeBTz8cSv9urziFElBG4KC8o///eD7KxLNu+R297
/V0PEcifl+H2j8Lxr4QVFmZn7pTvK0wUDBz8OUf4+KZcgjx+vJPGqQ77uQYjPnNOuw1AKG0496P2
JsX5GvvIC3BoJANZurNUEi0IuLcOE68tkthj7Q/Wa7foEBIE4Z2t36OKT0YQYcYqU68QNwR9B0BO
5zCOCvEI+Y1mcdXU13Cns0vyOBgbqRJKKai2rWU0+c5M/Jn2tl1GFmI1aM63HXYA5MT5zQh2eZ+q
+b6b9UEGCVFagHCiduo/FL0x7WbExxvUAva26wGxUITIp3YO+0sF6mdntDo7wx8JT2Dqn7oglRdY
9MQXQpKhkZGBgoVqAmtnsBrPDKFeB78WDwGgFZgfrrfPWverm9bQFkRyMF3lORvDo7S2VIOEmSfp
mOIK2xKB+aml0Dkj2a6/zbPExzGJzDGHYHRo5nm+xh54kxgYVLzJsA6lRVKjIAP8ZWQgEzE4H9ZU
FIPscqN97lr9IONe79Uc5jdSSHubDEAKGNYbW+mjhiioXDbeIO5Ia3HhfRFG36VF8cgY1LnPZWPB
96z3QBvQGNgYHROfaqPraycy6m6XQw48T4P+emTUvVPArCO5LE8mNS2IH4Np9IRaeZplfZZ5KxSn
x7lb57l732hFNmUXwDoIOZPQuiQ+q9D3i7LgERLQuUNJWZ+7cXM2iklwUmiXENJEck4vrftgIVSD
pkYjAFkys3v2rAXVJpSVwehlZA/x5x5D+65VQ3ePR/XZpZTUnjftaxOnUjvfJsEQbAPiszeCKTjy
VPuDrQa2rRIOMFvqp2CqPxglxc4qhouRHyxscxt8ZOZ2GftzPXXjWecykqAf1B8nNJ9nHZMZJmca
hFceQ8hXbd9DzhDMZQfrQEztB/xqw2NqiP7oVYwVF9nfDsaEG0W6+tFP2/7S0uqlKuanfHKf21B+
KxYCBIye4I8mvPbaZCru3MkYvjEPlf3ZNHKi3FitpYgEQIQ4ncl5nKrdwELqX6B8nPDa9wHTwjBu
rkUtzXrn4/wuIMHG1c0QlDmRjWixg2fA1Uj3tohyZ2+bpL1oSTwMDWZz7Ej0CCy8iS5l/VqrQGwk
3iEGcQ4BC1mqSPHkPbFFF2QzUWf4fBdrvdTMrF/7xdXkHoyZVUybmcONuCrWAqxu2qQljh6qhbsz
O7vFeunyDHR74t7SalfpmiM/TRALRWgjsPr4wC8SXN5V++yKxLvDZsB8MwWdyxnOh3uDgisvOWmh
M/hUaX9MzmmaU5ohlPVJY0mWc7K7aoSljl/CsQG2M+w7zDM8bl1f8bgXALZRpmhFZJuDkOOs0MIl
yM+e4kfkD2EceRRF3Q6ai4lKxOe7UU5bE9WC5h17GWF+zr4Q8Rwes4IOOqMsbZOISATZgnA7lBlq
Z90NJqwU8sU8GqQpNSHT8lAdjVpMbuRXNAv3dhqLbo/TymLiUwuqTDBsIV1Gb0zTfYBbIwNC4mHx
UT6W7I2rpvgD1bI0oiluG5Cxbe0+yZQAq43MZ6ZRJcM3gnJK1XUXTPiB2Vk+gYoRmqsUDlTattCv
MvkhYTxlfcuBTyPa7oP0bvRFYG9Cq5o4SgwLQSGlX2AYjJM2UNeV9Okvy0ThvZt1nRnXfci5eGPC
3ptvQ1MG6tGY4hrFR+XaRyQ7fMENbqHirIhBAxLWmJkhaDADw44tJv0KiRJpjxTxfRFy4o6aMJvD
XQZncuHqo5SGfdw77hcOs+I2TGP9iu90fuXA4sZ48B3SJQucmNCX2VvDLfi9zD4gfRmdC07jnb1H
et26+FnYNO5ie/CLXavDgWTJycW8EDgD7Mccq+TD4E3qpmev3zOVG4+lu1yYBiHdhSIxmUZ1fecm
3XWWm9OhQzoWcWib9nAMmpuEY9qmDU19Ayww5uhDACFHXq7xmOpXK8mXQ+pl1xNSlsMM8RjwlDQv
jQVTSF3hWvF42OqY5AHm3EzOpyQyOedEnWzlFZ3ZmVQA5qaeTwBfOJBl3/s2uUhhfGh7EF0O/old
MeFzH5vqAYPBXeIIugLsn9ulziAp0RyE5T+TgfLUm2UBtFOKY0XyHp1j1c2siab3UgQ8JQeMmbe0
WtpzmLPorsLFPaPldw1EdLkoVqO1nDZqBGUT11fp1JpXtJCOwxi/OsggN6psvvUtYpkU3dSexKXb
LOSQYeaM86UM/Mgvib0ZVMya0JA4xR1a2YwpHTiKmTEZ61Aehh8KlOuG0ep2TmOQhAViv9b52mr3
YwdF+ryRuERYbK5iePDHBrPDFY3WMSJ6jmZLYx9tTF+Ghed9sQApa1KPvcXdYrotopY0viNwD9Vs
c2U0kTewNeet/0EN9WNvmeps5oaIhDEBYZN4oSG6foavX6jIncZ7sEfgPNZO67xTePVsdqpaddu2
7eNIoMqOoMM4pBrP9WFA/fGAtDxLYSmT3vLVkFafnKe5iAlEKYISa3xlgsNMsSMuB4yAs3dN2Ji6
sA1qM1zMi4mGNNZjsgPOjrtDlu0qZprDmvBkItHQqMQ95kWCONGimKN5yMJm2TWp548XYjFBqCGj
yUEvNQrdeKzM/ZjJsUKrbTVvmuqr3WNCd91blXZzFg3ZXIQRQQptjflTz9iNATrLTeEHtQNcZbGs
cyESREi6sMlizLKw+8rUP9VIQfCwHLUyYRF7o+3Ck5ZdOh/agT+EH2A+ySNqLOifaiOtsEKniHT7
fZ73sLVA0lfxWZoaLn7ALBb5+Vy0s/VUY2jrz2u7zjIc3CtPljOzk14MipYCSMrSSihBLMv/sIA5
wzCZ4LqQWzuRnrwqDQn1rXOyurz1ZlMPt6YcJsbfktTDeBdoPdwPQVdggjPd+i40+2WBPCatDjti
X39SIh3FTeP587LNA0G6Vs20iiGoXScYhxPXVQSWWllwk3c+xVyfDm2IU3JqqA6pqNoj7wJyQ5Pq
ID3zCLxALkhp0OyVr+lb7AppVed5YZZUDWBWIAKSiP1UVXNBYoCeg3JnKLc27u2l/+QSB3AMzOCY
0bzeskR2ZFksB8wF/ZHOHTWtZBOCXYOkJp0ugDcMj5mgEdXZ1pcwNT4TFovopXLQtSGvN4Jt4U35
wyBi3mYQxDvwbE9aeeeQFXbUbREYWn/fOKiItLm0h0q2R0IdW7aeMHnKabQEVndlkb+1JcAk5gRQ
jYfeYprqlVhHeE72niHCM2GWIZzcGgth8+hJxgqj5v6BsHwcYiOymuFG9q6+4wJ/SHM4o5NT3pAu
cK46j7YxKUtsed35PNUksQ5E+SbTTeJY7SeWsenaVcEjhoqHwagxwwvCr0u162X90cotWryyifeN
F26nTj2XXXsrQ/zTdv0Z32kVuXX2gHjvjsT0ZSvibnpB+vQp4Akd2xbujKm6o8Xd58KXgy7MbDrH
INcTnroxiuUzGahXZec+KNRPG8cfr3TX0a6EGkrAF5a6xlkrIi/8INBQImltvmFtxITrWpxVFJ/T
19c+u8tohQdMUVcYtu7KKn9efHntzA0SMED7Xlx+aQcFnF8mxgZWekofRcUb3TUfs8XvtgRimwSV
YZKvy7b9PA6g2Uz/nlEmMWjJeJWK8MhZai8BXQ4TStrAIbkN8/LlUkuK0YEO0Kyu3RJPXYvS2NHt
bR66d26wpo+r57GBrW3aMuQRXfot7TPUS4H6yFZNiawBxxkWDJ8kOFDqfmwSte/mjk2cCBnskt12
1nrnjO25XSt9yA1ZHnJSkGPb7Q9IVl77mAEvAIRGEkGVzM8BR6Nd65DH2ybuV0AzpGGSA0NS2Nap
FlgcYaK2dWkdRFZ+zDkMsbcw+7wQyvuAZXt5Mz1jvIxF9hQuEO0Q7eFhRV6VwTMHQredQeEmXQw4
El53ZV7UhAFs6Cndas8/uLV3KTm7UV/uct8cn+dhuFzaiSTUVl93vv9AAhrMP2GbLPW4NPN+Cs6y
IaexYgf+C9L/aHYRsZ5oT67QzxkSvQjW07TiPziW0cvfulV8C6Wq3XrhYkQhOPcLMgyr3QwvG58u
Wqh9Juz5NnDa2yJGW5wgL7xosvbLYtC7zAZPX7LZ0L+dZmvHTGZ56GHknPE38AKFDs3omXEubbv8
LeyMIEKx25xPKu4YBUBEWQa3V/Qp1/gLBgYosdhticVAWQyJSp7iMsSanIGEcE3RMBVV1A2nOOI1
UL1nw5kBl5SpEVjyI2U6YRyqt9LuUJxCOjj2CJTOjZ2byRmybKzUie4I/WgCCS7HkGvcRwLRy98s
pxgQ5xQJEgSDu/K0SUaArTSTdBNK8kNgK3pbu7KN/HLq1oiRek0bGdd06gUAvb4cmReZkUkoBcCA
NZ5kyIhfQK31R3DJmmGS5f0cnhd5vTC9XpNONA0YMm+7Od9NI2gjpLYNn8rQcEZyg8A40wUASW8A
BMalm0mZHm3OMWQEpRx4Ql1RkkO1pqQF/NZ8jddImIGDFUCr2ivOmKZgZD0lyBitdL45idM91smS
0XiHN0tRO9F/OwXQtJP5CpjlIxOqHKn2GlPTNGF63threM202B7EpE6eqyC+RYf5rDIiYYm8gWLb
VoyHbPOqWpk5tJctd98JA/wlIl5ATUN93Ts4QvyQg08+ocgb6a3HMWd64I9bsnpsWq1iX+I47BaC
jPRgndfTcit0yUXoSCNKvUubad3QsWNWDrGHofPscAq8SH1S5TDpT8BNt32JFH42yEtIgvkoi4kM
jyBHvCmr66ZhwiFceuGTZT8r/P+7irwh9qHrSZCP1zkPU0DH9kyfEoow8xFct8YWERpEgtECnjXZ
l3K4p7MVX+alRKYNb0M/JqcEJG2MIM1PuUh53uJFs055ScEpO2nVUB0WYtxjSDhC83ka3RcXjtdc
mem8b3Iix3E0w9ih0CSWSRLQZNMMiuGbK0PiZ6t1c6XCcZ+Z7WfQZPISmA9DcRsmZ2Ymh55sxqhe
I6Eq2yZ4ZvpS0R6g9GCIskXhwooV2PccHzn4p/Q7NgkMVche80eaSW+gJCZ8u4X5KtzmHNpNczdN
FYg0FswD2/NSP+SnJKtAd45325wSrrDNsXWOa/AVR/I1RIFoBYI0Gr/pUZMSk8Xph6szrNlZeDIp
xRICFqqd2du4WExMnWRtwWOdaLetGVzNGsdFHcrjLxKfgi5fA7vYuwE2MVOt93oR3n45ZXvFHNwB
O6+RX3XljDi51yCwOiu9VSogA0AUxSktLBEpyWE9MlV53w8lTnn/lC7G2GjsyQddU8c8CV7xC2hi
/+NMhri9STGX7wgUJVVMnJLLknlNMdPOmmgGUIt0M8hZ7BRyDT1rsSAZ5/UfWWgeSJUJswC0so45
wZqXBqZcXVjaK26FdPxv2RqsRj65f6xoKVKrQ6dlAmZ+aRz6cbhpyvFQrflsfpDqnY9Pqp3lSCYm
yC1/GN6qZqm2uGr0Ph4m3zpva7vb2rrdEUqiwvP0FA6HHbd37vLZmyqe/oBNgeZgobYcTsP8XIdr
yJxVThJ+sxe07UFRsH7tqiBDkWEG87fOS/Jwh4gEPbhCb0SebM5Ke629pj7PTxF3ikTYbFOfYKC4
zQhfxYsMrE2KgiNL0dFB3hkem8ZmAtOc04lZOW/ZifmG07ehnuxWFlwiCfJkUgBeqDEbQUhKMH3s
Qid8SufOBKgylFuQGxaBjNRYpWNOzxnFRbM4/RmTZTpL9HjeRGzT4zATFz6d75WHhi8bGov2xBNO
UwbScg0MgAhjnSN1DR8cqHhHnoQwpBvFa6NUp/WyNevUn6CeGSkg1Zzhd3XlF+1kPcgcNPmeNabu
bmAymNkR5j9h5SMMveassGOZv8Le6B44DsrVnJR0y23J5Gp6nfImgXThJ7P76I6Iz3d9b+KX6DN3
wh3fElN92TMCL+nc+eJJk25b31MEt/Ud87Wsf8phyRApG6N76jb1KX1FZBzjtwo8ZLNTC9GosMDq
EN+5nTfVchl4MddA1wP1QizLOj2Srk0OLJT4In/ko6Dk9kNO73vLxE23G0KRwP2QDTN2Vs3iU+xM
NZZ9jNDWN5cMhs8Z3803jtsW7qCWwzruHABDTqm4M4EC1p+HJO+6g+ENJ5ojaBm4dIwHNm7qJOZN
XNbqszAQzu8M7hiakVJVFxBx3WBPdrCn+eqwesAqb0iwmUAWcIhDcVXhblPOQ8wOZBFeRu9lO4xO
f5kY4egTEjV0RjToEpRMPJGfvfNdgn53vsBPbE3m4u3WdN47Tj94wnWHhgthn8XtSXy7vewoj5Ov
MnbicOMzZgvPWdjAddOaW+ReqJhFTYY1uHkjJ3hxJzDDOJsWcs10HYoyPRssm5okL/31/D5k3Mwq
yHNvF1DyjBGtQox/sU/+0cHnybqevLJMbib0pDxDuPo+8mQakZFUo/fRHlL/E8FO4p41girQbw3W
+s6n/Add0Kl1qg/oYstsI/s89km681U/XC9Nt1wl4+zA6CIepk0CDyA63R1Cm86gONjP5FgfK2rm
o8CWv4vpez7h5POOVByUSUvWxtfYXWCKyQCU/IK6sVy6+qqxxuIYIA9ILQIKTLMDm+FiN5lZcuH5
kAMdNx1cNzuGj8dB97qPM3EeCAMlCWx3I1jeKo8ohGq2merGZ8tUmcT+hG00K+sRd2u8BaVafvKs
un5QrOFHyCjuZmnVvQz6Y90F94IW3xfcd4+hT4yTyc5eUpNEg2l7D7UKLpOwvepHHAVlMx/8MAdy
l/k7tJLLXrh58gzT7St8gXCfO6N1jhbG6EARgGnQOGBRLE6eC3SAGQ6NHdf7H/H5T6PG0EFy6zOV
++fDxttXfNz/+X++nzP+/bf+VJ4HvyOzDELTYRi8euQYGf5p4Ra/e+vKj3Q59O11ZPiPSaNt/44U
Hf0gDxPTatNB0fb3SaP3O5PwkP9EScsPoHr+FyaN7nspGzI2i7RYhpYePGM/DN6JqO1GgQfojCEy
Gp9ULRdV04x+ra7uDKo08rENzzgTtFoYYDUES28mhdeUbldQvIKWwvhn6Al3C4AfOBCctQkk8u2s
j3ejIDpkE5CyxGmiMJIzj6awSYOn6WC9zJLwhBpt8hfsKCremlXZf+pJJLWwCUp8Idod6McCtTJv
XCOxLhKN/3Q7YSem32BaiGYS3Zo4pju54LwNfXlHywWXa0y51GLLXcxpW00kv+JlMcWH0IOYAPHL
ImO08j4upjKxRuGuPeaE131VBGzc9VZcvZKTIgg9T0ZS8kAzcA1yLCPLtsi86U5otZCM0Zj09jKU
XHozuj4frccgRJXYk0Q7a2osjJRlY22wfbo9KdCjRHlgLNnrnLYCm3Mcs94hAZTpYYDqim+5WsJX
kl4YhdlVyrirLCcGQIM79i8xwC8kFI0xH5nC0qMNEhR7Ee8V4XddKb0ZZOifBUldPMSOlo8mYJ0+
AjVpX4lGNJct7GMcND2Oyg0YGv9zk6rgI0VqPB+JYhpuXE5WwCG8IrR2c+4Thovg7irRmU+XxCKw
aqjs8kaW4HG2tCz1iy/a5VmwlZDmRNT3LW2S5oV8h+4+G2fgOwtHVLGFXVspYGxu4QK/Lhr9aHhB
+pVXdM0zA0H1U0kKXrYf42UMUECW1kz8FvvBDnJb9pkxSvfWTB25pJiIB2XDsw0rP5qcfNX4hp2T
bu2smAn/NZrhkUk/e3LTh66OKgixz+QaCXmW5SG56rGffMKdk190cJjphqQcq+zYlx3GBF/de6AA
XilWpk9pMw+ItQJzvIZDWl3nYrW3kZ8S2xvmUmDrQFw1ZHaztUKRqxtdYRQK/M8pXcpy2yioXBFN
8hKXPRGsl6ZZFQnl/rLcxIU7XHcoEj5WQeO9oEtAbuPpob80a6e4CATcrjkrXRiKsi7v8dBqMt+A
G/lbGwbMHWR06u7BqGyei0y5D+gXTkY+zk75AuUmMkXD5r4k4T3auv4YsJvfWX0bHlKqvdc4xim3
ZbWC2WYi/qE/q1NC4REzjfcIViQRElBXX2iD9OSCrh0PjNIa+eLgL46AwIuTYC8gpV5pJ9Ffgi6g
HBxzrqrqvU4QszXpeb8kLs2mXpSi3kGapHPfigaq8OBWKw4IP5YdLUnm3pvEZ7wsQWfj+mw1dkE/
lhaBkkkhBO2zsmEwXZjqK80NWe8FrrSrdrVYHU0vKfK9a45Yo0k0KyAidW4KYHqencsJW9gdGKiw
oL6O469DutTVJqTP9orSgtsRJxcmPdPKq23NhBegix6CFYurkTIhMccW3TfrrdTnBaKDJNU5/Ecj
NBmx1x2g8jD2UrS0oXwRAfWtHtcSUSFG2Awe6KE9pC2SIWgJ1e4uyX1P3RG74j9UVG4AJRy7v8gt
hVHSD6p+FSoMYBKCjjcCGXMBnVU4LiffZoSOpvkad5Q5RBpiX7Y3fWra3dHztfWU5S6zRmCxM7SG
XHvPhBGZt5jVCpeaN+iBh04MM4EHlx8Q6CMaKIdAfusTjHV4VLHw0v/zxqjJiSfdIc1QVTS2Rvol
YLpp7oVtgOzAP1m8MZ8yaPUTYMP4xS9mP3LIlPuGqI91n2Z+R4eJNe8+7oJk3rlZ03ydoOY80Llz
QLXJXt3HVQVMc0DmmzOEWe8J03bgiSeLFmd8Vly9hsxY8NplykFJkXMICMQenA8TMmi0/G5nksBE
hBTqPmvKP7aaSnsjhro+1wKXHaOYRr+h4RRPgKlQzheFhZTUHHT3AATYxIw8u2uLDNrZsgEhxYQD
Wib9ryItCbyWiFaXY9KD1sHA6tIMkzgjsO8PMT9PB5PCmvP29DlxDEI0vKZ74MSbetFqORXbEVMl
x2qfNRrS5YjL0BhU+0ECKas2wLtoBMhi4dTYGDzZLMejOK8tkkwPyexwb5d5RRLfBOg4wa32CVUK
eWvZwGB+I1rCVA4l+l++H9XlX7Oy816cNg7sXTcMc7hJ7BBYYgOjszjPa4Y5oWuY4mJZGnr/3B8M
Aq0wY4xOrAIfDLVLSsjZ1BN+ST26TrtI61ruJBvuU2LmnDXBmtF+LEx3RZwpizOE4raN6qnxiqhp
ebS3pLeSFNzANKDLaAZ0QBYU0ccE+XF3ZuqiE/dhKYviQFxBZqzz6RNyoymmh4QeKbxjj9wBDDGu
vmFKDyRvRRa+kGIA/HnmlApJouqSfA+jU2KkjJV3tHGAIHaeQ8brroqR4I6WjIGq15Zhr3xbrz/M
yFfvh9aRBBVosCgY6dEN07S3izmCSVoEu1z7hrfLRDO6Gzr1Xh/Zqi+7HaT9Se76UPf1GZIBm7OB
Zy3IQFAFuXxd+QhEUk2ltZtSV5KR5yh+nnlz9aXNltbYouVq0h1oV0hk9H3nB98fp+E8IPVsOGQm
e1SP4JEzS1FP5WbqcvNxqrX1hts4oKNkmfrQ1AmqzJjODooXTTAKr2iWn3WPUAKuffyVqGyAuOQA
a4EeSyNrheHY0bbunE+IEizwUGjLPtGIH2FeK2YewHCYVRX0Zasj5PD4XmECR3ed25LEMbfIdxpi
jrWVZdFxq9s2cttiqgMRxTExB4gofP9Wapi2m6Z1YubVyM0j7L48xVlXFynKs9l8IsB0/ozcoCTk
qfRrkI9YENdYoKm5rXPEQJtGFy6oMVumpP45lffATkYxp6Tt36YxxjaSPGMqKhAjjAFa32weJ7q9
HvWOZyGukmXub9sChsU2c8yO7Ax/SKGcJ53aeZV0INH0i39TpvH4UdRD8iDiJq0uO2PyyVQoBtjg
Ns1EyBou1l/KQaWgy05s92LRiJpScwye8jEB/MykiltHpHPzaWRwmtILqtnu54Xd+5AMZgeYuGBu
dPDJOZwip5gwmMcGCwbKUo8FJmv56rgOicYMNKM77e2ugTAWIjqhTkSwt20JDYxyTxcPnswVqV5D
ierJra1eR7mJRHKdNjcUA+O0LGzVNst9iQoC/Asbhbcn56Z6srqwhqCsa+LXYbrM1i8Ure88aZj2
QMITWYrJklzL0H2nm+0XlJRJt4aZkfixt2OBvMCu/Q0aOf3feCkP650IkU9isHwneXTLFFI2Z91I
L466adOm2jbkD5Ha7Iy/cPCs7/o7dSWfyrccjj6s5B4nKfHu0MMAK5vbIUCkAK3qEMryWw+7cffd
afBvqs7vTbDrH3n/ItAQTNNjW7NJq/lRwikdqwA8kUGnEP78NFAJRYsh0ssAwjKtcQTeaBV6718z
dp0+2vev+u6jxdCMTZHGWUQ4zUIia0YOhxztf83YxaXD6LYarmwTqBBn3B8/WwwlvgISA+NXSzeC
wCAx+Y/5L76mk3Prh0t4epnVsY0q1+ZQ9+PLoBlm43Wc1enZkoZJ+w1Bu7EjkdPYdp40rzsxVPsU
Y80ungjV7Gh6kluixO1ff5WrQfWv3se7p0C0pkbsb2dR1kOomFy/P/jOulojKotWKWrjOWrjrt4D
Fy3lL26kn+5WrgLObZzAJOYEBB/8eBW8ha6ZW1EODmGY7ZTD9BMKZfOLi/3Tk/7uVd656HoAmOBs
hywKgCueI0OaEf0O477JEH799eW036mb19tnNbxjx8c/H4Tuu0/UxH6cZrPIogqWZ4yalZ2AjbQv
7POscbqXIXUX66xpavMltscp0gqtn18S4Ey+tSWuWtBNYHhjFCXZmBcQ32zjjXgN56UlcBgMMiW6
C/fXD29BTDCl/Ov3/9MXwkrIY42XfgUA0IX58QvJxzFOdM5KZduIft0gQwSVZdYv7N//5asErK8u
IzQfTd2PryIbR6dtwNLbCpvHa83vyEzp/mK9+Olr57Osi5NNUesSYLC+i++MoAnh57PTBXlkjBi/
0hSzGNj9/DjF5nTx15ft5wWRDYTnAssxMUeWS8fr+5fiUMWCnCEN65CMflmKoXp0Efrtwc9MkQxI
xE4Ip/vF53tnyTithz4zOvpo/tqCe/ei7jRnRUevITKCIbutioFDDQjjbSVa+8JKYagRMxA7R4Ha
4/WvP+/PX6Bvnfy1LrZAk27ej593WmRrGNPqU0cgjf7NLi4LxRH4v/EqITvzambg477/gPlAnRW7
WeTb47h3eAD2iISrX9zyPy/FbJkhtzyyu8C33fDdUtz4ZsW4Is0hzVLJRh0JUD41lA9NeSht8Hgk
kzuXqG7XVCvGPDyJHV7WFSRmE4fYtt0v3tG6ff6wJq9vKHQdepesitjlf7y6I+bMjiRe3tDSiUNC
7XpXuwD0gQ15JlFrY/iLPe/n2/cUHmeBArFNAZ3xxxdMkVsYo6/zKPCVvVHKssfIZ657ZLHjfJ63
weXoE2z4i9X/5weUl6V97POqHvqSdw+oMlzHtAAqR9gN/b1b5ziXMhIKyBu1CXL+65vptKO+u6o2
y4Ftr2sBCMp3u0BYmzOZLjgCGx9TFqeIEC2kNB46F6w900ZcpHZmEY6DQ3C6stYEBO78xogczrAH
xjbxnl5VfDi9rf8xN/3N93T29T/+zYbVytX+5/OGh//8v81vt69D+SPq5o9f+3PgIMhAtIjhw+bG
Siu876xNzu+WyeCTtVAgkmJB+sfAwQp/Bz3rOCE1gLlGLvKw/X3g4P7uWJTltB8D9w9Ezr8wcKBw
ef/c0tYMuFsCBy4MKb9rrfXdhjMKp/CGLEwjlDq4fnpPVNNOT7b3RrcteILDXLyIVT+zxahc31py
oeONEBFXpB/kdB0R2QhklwmCxfXEdVX7Mn0pWqB4m9EO46sgoZQ8FMTL9N1WQOl+IZexGCLmB96z
SBc93uWOVYbng0CIfZvQPjIvuzbM8SNUGBU2OfOcF7bl4sYUNjFKVjsWeH7sMi2IZWixiH7WZWnS
JFfDhVFhzN+4dooVlM+1srCNWYFF4/wP4Ztgo5cMUYi5VXY4fjJzkyykkm4DrHLdTbejjXtmAyMx
/+rRf0gux5bjPN2xPDR2WtF/i3j89Uted5DkGAT04rIKuxBFQjLRjyCoYv7oMVxVUKZSLJuNiseW
tqAG6UlPuKjxnMgAvZWqnLek7efLoMkn/KkIdmBU9gtcxhEmg9oB8kIaOyGGCDb2hOQcYIOBacdI
Yrnaa+3hEvyVeUJzhZu2m+jVxgRkUjXASZ+3Jl2ELzVwggcl8+ybGgZ9rjIv/1AIauUtxnZlQDs0
xfXk+P0V+khJzymZAAywgV7gKMpkBLV7Td05OUAB7uEGbRmHfYrt3LtO6tUt6q/GUe/kIdVZ5gWb
AO0ZLSNqwgoHNpZTTQpgeEhUF97Oq5B7U8kyIPXCDmnwcqKow00Gu6/dL8FsfTFXYyvR180AqdBP
rhG1chkJ3iCGLzg5YoH1WeUVqyVO2apYXbOcKXHQJsAeWiIbW9KHTx5bUn+QPgSr85YePBT3kx83
LNLmC/O+6vN48uu2ho2yoFttvFkXN+xVyAIfwCsTfjEqLL+FWsqr9uQDZtwdP8cnd3BA1jdfz2oa
xv+Mf9hdrcTByVVMOCijtga7NMaYLOcDmtUE02zdx775gZ7IcPCAVBq5aX7sGc7QSBhTuc2Ecitm
yJpJk9Px7UMHJl3D0FZbHV1jgcDL/osiIkFdRRc2lijwBQ2SR8ko7yLo8N5vEz9DlkzfzwSZplxn
II+zxS00IJltQBAJcFYNuVNQDI0puJvDxEa3ZcTGpfYs1FL96otDAJMPDG8Mo9oliSuDjQ/QxSR3
aZnuNe/k0cA0/m2aaIdupqFwLwvbAQtX9xnTyEZpYqHJa/G+jNbKF8a94L8EfU2XjnjjqadNHbYP
mOyYChl1AUcUSYW1CXuTYJp8WOoPNX3GdF9Zq/AU4qBOo7hDssJiYMiQ0+U8XyYqrDUC40U/jcb/
o+5MkttGsjB8FV8AERgJYlMRJYqi5NmSuu3yBqGBBkDMM4jb9AFq1zfwxfrLpKgiRJp0WS53cGlZ
AvASQCLz/ZMJcTHoIrLmMMTTmhnGuW2PDZwD6xJfXuwMaaVWvCFj0k9PMTSFnY0CrH/J0KpQRVvv
DQ7L6bsaCtWli4rNemumNQvhFNLGZTWy/UgE9vAoar5FTjJLoMVZ0gbtv5sQ6iUzi0+jXFdc05xC
NSk/Q4wf2y9tfP8+sOchAQ7qiHfqLwK8ImwLC86zxPMAPuDUa1+ytEmr09qslGliKqNyYvZLS8j9
qvw9YfQWbBXJ/xgz/10oRdpCfoM7UxL1HXXXUH8AT6Dx2J9wrVVt6KMODhKF4Tl/JKBjJjatggtU
ij7wSVi2DVQ5Y0lzEX48/WpXRKGa/lj02nGex2czJB4cBjpNeR5kqzlTBLUlJ87zZevmcHYxBOmS
aUafTgfXHMWvsdDuyws3sk0YrItKqM4yz3lLfkO+nCxjTbvGwaKB4xLRoJymWmVctaGIsENWa9/7
vQPpRE8Xy0sPXHjejTKmMc0vlFlFXxmNZAdm2CqiW+6nwDNpOY6caQfiMjWDDCw88cjGOIEYWbfT
ZTIyb1tfJF1CoA0L9qRdigpWcoRoFqbe1AzL5KWhkMDzTiV3Wj1N/DrABcRIcH42iiJFGtjEHrKd
rndQjjs614dU3UwnGtq8ixENRaAUmr9zw0YT+MorFylhUTA1Me4sPV8XEbVu9Rq3n5xkUtPG1tAK
+27adEsbHnpW6MYsT4hhZZowlc9kTaGkagnjhpJvY57CK75sr4IYHdwsaRP1mhimYHzKIgPNXYQ1
aDppG9+rpnaQ0StvNT+K6IfWCwjxZBHnCDFM0hItwoHwY3bgSCHlqR3wLijEKivE/NwyC1LNjSQ3
vQsVzgoEYTiK1+DWPDx4AwA8OEk3Mk8ao0E7EY4FJxlLd7xgPPLlbvuQqCLCN2qB3cSAFSYRJiAo
5HndemUyis9LSTtT64rJyhwveMpSjxCka4SDQB4GM6NQ8eLLOTa8enQ66nLnc2uHMB9r0wnJgtdt
V53Rm4b535Ac/xrZMrniFh/DcIo1T1aedSx3YRS5PcaqWHBCk+O7sAzOaW7Djw5xIQcoQjaB2LXk
EsdW4t17NRHmZ625FPi0suTyxxjhBrNQX/LNKusSGCpNC16HsC249FQXXHx37JAWJnI1k1nsQN4k
2Ivt7Gss3ICzmlopr5QGJnmPoCpHYwXcgQDQAG0uw6YLZibS6nlo2clbJ4jzfmqUSXepM1OakxyU
WkcYhBrsvF/IdN80MVAV5e1i/M7rE5AyZDHiUFUGnS9c+oy8n0dj5Rx5IO67kABL5yWMb92/0FpI
yhdu66rkfuVjPiB1RALzSQ7dz5o0dLLLC8hnDKSBBTySFa+Np26taV/crIXGPCJyiwiavkm8c7iv
5BJanrJspuXSU9NpTk7Hx9LvQABaNKZ4txsqImujx0QCewrSj5MuCImB0frmIxb5rnvhVVjdA/w4
wlS2wWrtjAkAcyuT/cwtOg7IfN6ihDbf4pTrsaBJTP+tagCyvPKwIjZfIgMViF3vkhhUIi6N8OUB
APtkpUhlGvRX1y0aUfxIyrZ2ZyHmVhdGKC8i5VW6SCMVSp0t0TZVIm9N2dnG6VIiclmu6uYrQDFU
VxKz4wkkgieTWJ4ucb2gM0efbc1a3IcS92vbOMxn0OrAA0HDR8aZp0QGUmqBGCJEiN8iK0/E1wtE
MVmhiwJoxGIApn4h8UdMDsAiaY5mH12UmxWhKQKtrCVymXIG8CRVh0tYulA9FR2YE3S2uyXHS2Kf
S+bvQmKivcRHlVxgpYXETRcSQw1VjQc5kdiq1/X8vtIJzNWW+GsvoNgQxWaBUl0gtL0EazWjnbdh
RPI2mBcp4RLXHQmIN4LXk54EEvmlI1VXJ0k8Nj7CCQcbrkYRU5krMeNghR8vgZLHQqsx8STCXEm0
2YW0wYwiQGibLROTqICmK9xw7x2JV0PcNC/HEsUOk5oVIqG63ZdU4tyuZcb5xJX499L2orkhUXE2
HCDkCyK07jKJmycSQ49q8uAjiazjAg7KjhtV+cWQ2DvckggKkkDkGwHO52a3AKcHK3rvCfC+lzh+
nsWAPJYNvA+hE6SfOw7qjxFEdbaUXABFKWjR4jJFephkC9ii16NKDsFI8gkCyS1IbaV4xWyfwR71
S+9aCQQPAWlHbE0NyU+oJFehkryFRlAYDEFmsL2m/Cwipf7oy0axJgvJe/CcNsClWvIhSNOg92on
gd8BAhI1xnsu+BOxJrgUvaBV5BBNWGhItsVYEC8IB01jxHDQMbBXh5nRCpIGsZYG2gTB3NAj9Icz
1k45LFbJ7qh8cIzzFvo+REgfhnwjqCD2ihUiGSJGqeOOpS5ovk2aBboMZmUIJUqgAz2j6tPJOUKH
wlpLsE9CyURR9NhKpgaYH9BvbXT4x0vmSi1ILKCw8FlQgrd3i07T3pSR4itICAX3BbMHeDBtxvfy
pJD8mFBQZYpYTIZma9aXhCvBpdnY4O+AkLY7iIbBlltV6THrY7Ck4V7ZR2thdKwpUDikoz/8MPiU
p2V4+XdPYhpjk84e3deRMZauhhsbchimERYZqjlZRga+1WrKZrFLsgPN3+0+rM70AaveZHpCuPVk
219HwaiJU24VYV0ekR3cSNScneDRdwpTPbvbOMmSMwPH5Pf7C9TEsYdNLR03lRG7dVrdJtGuw2F0
MDxDPhUbqDm75FOcu0Z/YrCgPOGGk32beXgKIE5glzjBUVwEPmZeok0RtSmIMl0CY2eI/pbeFXCh
9hoTtf4uq8LRvWK4LvshoOsC//Xe/ViO6oV+oCW33f/TTRASiBA4HNJOedJF9nsz0l2FyNAlkt6T
qO3Hp8mCHZRVk0azf6B2nMoSDq3CI8mk2ytarhtPQhapPhCMozFlIDx386SHa4c9PXZlxYHu7Y5b
AuVV9Kmgv9LBfPJkL0JiTru6pSoC4F75GKTMEHmT20A4yiUqzYzkq3qBKV1nvG4Nqz3wSGw3j3WB
qwCu0OtUWQ0PK9UVx6mqBNPwHDXVDPsL6COjAgM6lcSE3EzVD/tHdteLDPYgnJdNU2ASw/MJexEX
zArVElqw81DEIeYBeQr7z7JdFSfYOMuTRyVEWILuxMCRQFFtFsojqBhi3aT5zoemIZ99/+l0AS0M
3yumJ4HnjIAFgO7F87TxvFiJGmfBmNT4amkESFs760O2TFlL2Ymi05kJM03vbrWRG7rnfqhpMzwE
nRj9DM0oGn99+ZGZmCUoy90oOI87NE6ndVnr6fkSbjx5G1WmVxOeWGgjOVyWaxiJsFuDkfs5cNgP
H6hH27pLtD8dMq1wgMKTW3Oe1ENcXmj5wcI/xfFO7VjbYH1w0jbj8I0RhYvPft3nH/3SjO7JPzYM
2JaaGU98tSZbKF/EMJaqimg9vnOsyARUbN7uH/Ad12frGlxxXHXozY+fvJ/G0swLK3U85iTfe2NV
Rn5Kn/cQ5UMiRoPbysIYWFa3dA2TLAxDh7eVmxQhW2/8U6dbjuNXuNosoPwRmQndMA9DfHqICWxF
h7O57avO+lfa6T7JO+QDX6dW1d4EdlYnB27O1rMtLgpPZMhGFklYT711lYhAAEIKsIQo7mK3XiDc
LzB3qlALBZM+/rsjjfcWgD4tb3PEQDxtUrOos9F4koNiMUGcqwXJ16MWA1B5P/8WrPEumyMCKebz
Cju2px5sAxe3f963bcPibcu47dG/bOIH0b3872Bebti+HfyFNWqwfYANFAR9wuD3hCPc6sh/OcT9
NjCIk2O28Z9rozp5moc/fyhs+8yDc62LWv/wPMBIrrgjFlGa0z1c5dubGI+63++K+abyYyRMzf+6
ii0Tu0dYZ+9BoxsvvSnXBxKoEGs/ZvFnHzi+6VOs8dZHkkfmC7/+907fve+65JMbP7hZH0bCWBIa
fu4Fn83vGfvoxS4XQOHhuD7jj1/4tMy+/lkEVfri6gYzkfUBV2OOXcf6Bz9+hlkafP3PcMh1fcw3
5bmD80YIj3zQwPWh5LjTNPgJF/3mhhGZFSmOHbsCKlViWNZn/fGR2TjJ+mCrEmDkrX/w40dHlzVU
ZemWJsD65w670Ht9/fP2ydOu/4z38/28SG7i2/pueEtRh/2E0T4ck/Jt783vmgOGmaZvscscTI2g
vDormecO//AsV3W0PqR8dDjHT3izxFRw82KCcSk61eGNhvvyE16v/Rj+M+/D1bzwgmww9izOLW09
UD/+Sl2nd4wMfdr1ocSY05kwfsKY/x7fZMP3FbLbz3hfD5nBPnO03wc39dc/BwPCdRvrH/z4YF+m
2NfGg6dPjMjPeIXS5P7rf5PhB1ts99mCP/+69+phnznYk/nTSd0xRoLRd+iyd638Hu2Lt9eDawfj
XX+2a61LzcxrU1HdN1bD3/yN9Spzxy88zJXiJVut/x6nYXmm5cP/P6xEh4vG/c/dxsnWR5GvMlMb
53ioeuOXhkXtueT1wD3YVW8Py6Amub7aV9Q3VmfHUNxqjbevuOHC8BhqkluFfSUxiQ82GEdQlL5a
MO+ramuhfRRlySX6/rK+tcY/ivrkJuE76zv0ediarv5/s+LDLmVfYUzMf62UjuFeQVmme3GgpMGm
6iiqktuyvVVt7eeOoi6xet1X1qDZcwwVrWJA95W0e3N8HLWJXfWh2ma0ishIvU9fDPblR1Igu5Lv
L3CjJXAM5a0aCvvK292NOIrahlKGHbuW7UbIEdT10E3Ze8+GPZhjKEoDu93/nl2lpB6/+D2eE8jz
2JdYlXaXir4Qe+CNI2zsHwfLKVKgaMMyer9onylggn336qS4gbo3XCLepXVSiSQjjySPjT//Vk2P
g/eralo13faVtdWsO4aHcNXy21fWsE94JDUdeAJ3tSiPpLIDS8Vhd/RIajq0nho2Zo+hqMcpd7XR
3fEhHk5/WXSTzFdz+S+a0CRwvve930Daj2DIV+j0voJWmDYtmAeQe3gHBtyG7/gA/dLO7SNWsK++
y6cowzHctS27zx2vCmuATcPPoyjrASTZd7+G2Mo/W9WhSQWqj/iVuwi857f/AQAA//8=</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27">
          <cx:pt idx="0">37694</cx:pt>
          <cx:pt idx="1">37690</cx:pt>
          <cx:pt idx="2">1419</cx:pt>
          <cx:pt idx="3">1008</cx:pt>
          <cx:pt idx="4">25190</cx:pt>
          <cx:pt idx="5">20242</cx:pt>
          <cx:pt idx="6">30351</cx:pt>
          <cx:pt idx="7">9363273</cx:pt>
          <cx:pt idx="8">649</cx:pt>
          <cx:pt idx="9">25208</cx:pt>
          <cx:pt idx="10">37693</cx:pt>
          <cx:pt idx="11">2593</cx:pt>
          <cx:pt idx="12">9332975</cx:pt>
          <cx:pt idx="13">27824</cx:pt>
          <cx:pt idx="14">25687</cx:pt>
          <cx:pt idx="15">20600</cx:pt>
          <cx:pt idx="16">33535</cx:pt>
          <cx:pt idx="17">10442</cx:pt>
          <cx:pt idx="18">12285</cx:pt>
          <cx:pt idx="19">20597</cx:pt>
          <cx:pt idx="20">27825</cx:pt>
          <cx:pt idx="21">27818</cx:pt>
          <cx:pt idx="22">29612</cx:pt>
          <cx:pt idx="23">9132</cx:pt>
          <cx:pt idx="24">37692</cx:pt>
          <cx:pt idx="25">9340570</cx:pt>
          <cx:pt idx="26">29821</cx:pt>
        </cx:lvl>
      </cx:strDim>
      <cx:strDim type="cat">
        <cx:f>_xlchart.v6.13</cx:f>
        <cx:nf>_xlchart.v6.12</cx:nf>
      </cx:strDim>
      <cx:numDim type="colorVal">
        <cx:f>_xlchart.v6.15</cx:f>
        <cx:nf>_xlchart.v6.14</cx:nf>
      </cx:numDim>
    </cx:data>
  </cx:chartData>
  <cx:chart>
    <cx:title pos="t" align="ctr" overlay="0">
      <cx:tx>
        <cx:rich>
          <a:bodyPr spcFirstLastPara="1" vertOverflow="ellipsis" horzOverflow="overflow" wrap="square" lIns="0" tIns="0" rIns="0" bIns="0" anchor="ctr" anchorCtr="1"/>
          <a:lstStyle/>
          <a:p>
            <a:pPr algn="ctr" rtl="0">
              <a:defRPr/>
            </a:pPr>
            <a:r>
              <a:rPr lang="en-PH" sz="2000" b="1"/>
              <a:t>Delivery Time by State</a:t>
            </a:r>
            <a:endParaRPr lang="en-US" sz="2000" b="1"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6A65FEB1-59D7-4BF2-AC47-BF2A72DE80A6}">
          <cx:tx>
            <cx:txData>
              <cx:f>_xlchart.v6.14</cx:f>
              <cx:v>Avg Delivery Days</cx:v>
            </cx:txData>
          </cx:tx>
          <cx:dataLabels>
            <cx:visibility seriesName="0" categoryName="0" value="1"/>
          </cx:dataLabels>
          <cx:dataId val="0"/>
          <cx:layoutPr>
            <cx:geography cultureLanguage="en-US" cultureRegion="PH" attribution="Powered by Bing">
              <cx:geoCache provider="{E9337A44-BEBE-4D9F-B70C-5C5E7DAFC167}">
                <cx:binary>nHxZl6Q4kvVfqVPPH1UCSQj1mZ4Hga+xZSyV2wsnKhf2Rezw6+cSVV93OOHjTHT3ycqIxB1DJrNr
ZtdM/Ne34R/f0h/P1S9Dlub1P74N//w1bJryH7//Xn8Lf2TP9W9Z9K0q6uJn89u3Ivu9+Pkz+vbj
9+/Vcx/lwe8WMdnv38Lnqvkx/Prf/4W7BT8K77l53uRN1Iz37Y9qfPhRt2lTX7z6v1z85cfLbZ7G
8sc/f33+nkW5F9VNFX1rfv370uH7P3+lhHLz119+f32Tvy/fPmf45uOPKojKH2e+8+O5bv75q0Ht
36hkNpOccNvkFmW//tL/+OuS85vFmJSOpKbjMGHbv/6SF1UT4mvyN27ikqSOtJnDqOC//lIX7cs1
0/yN244FBVGHM+kQ/i/9fCjSMSjyf2nk799/ydvsQxHlTf3PXyG//OtT8wLxYBSPxUxTWg7uxSyC
69+eH7AF+LD5/7q4lI4eOq1EkvlKVskXkphfXunkP5ABlb6WwRo5xdxutfKjslTBWIcbaaa+e1mK
yaGwN2uxTVtgGYJZjFuncuw69MU0xrWSSZqbXhzKgqnAzo3veeFkX9uqJKaKsqD6wkRkt6omfV3t
0sFqRs8MQjN3/TBrjX3TZVlxE49WaBxru50+W041xopXafJTSm2OD9EU63Ez2CZ56POOOoVKdCry
L3E/OcEhkNqaPBnoQl/3SZplbi752Acq4oY2d0bklFSVjia5W2iefBI6cGIVm1XGdyNva7nvQxJq
hWdJTFcbhW5d3zfSRJlcNIOqQk7TvUmzplK2LeJ2w6guJpWbE/tWRpXMVCvyMlFR0vAnX5RlqGhl
DkQVUhTWVQfd+aqwtfmdBLFwFBFVv6n6KrqPyVTlqiG61G4mzLZyx4AZnzKodnLHfur03gmdfDrm
ttF0SnZZMLhhMlqJao26G1RbTBprl/00Hroo7j8Xso8GV+eO8UjyID5YfGhSFclJ3hRZa2u3N0Pe
qbhyskNXJg1RGa3pR7Msq05N3LGLTd7VXeaNYZA+27W9sakcP4VOMfiqlFHUq6F4NsugeTJHxwxc
ocnwWNfGlO7ixAiLTZXbVa+ckdlkY1vcylXWwRtULYzwlkN46vZdkf7BxqYnyiG52E3ZyCsVj2N/
G7Y66K+pU2fcNcKoDbc9aZOPkZM1hRuWIvjYjJEZKHOs2kA5GaOfhiaPEjWIKHm0csf/6NM4Nj06
xlbvjREvrrsgrmAxDZ2OtPGNT2UmU9jrULNChYzIb7Tq/FzVWZPGu7xPp3vWT0mhqp5VsQp4xkNX
E+ZHHjVHM3VrQeVjnRntc9CaQrvmYNJc2W3Hfk629AO3KM0pVdTpc0PFWRg4aghqY2vWbRappsma
8JoTJ1I+KcJJmVXj3PfcqbXqzMi+HYUVVsogU8CufD3lieqmxondoTXab5HTh5F6ceXf/0LxvxHj
L5T6VpRjFQXh3zD+r1//++b/R4f/mr/273+fQ8G/f7vrflRNW/345ea5rH/Ztvn35yYq8uV3Tm4B
wX8/yRxPTn55E1xeI///9eJJbPlWtHkzh6oAj3USJ4BO/3tgUdXzFKXLz/8dVCzntzleMMe2iE04
s+W/goqgv0mHEjiwFEBCOV/6O6jw3yxbciEdB9aA4GGLf8cUSn8T3DRNQoQtCbOkeE9MQXB6hcOI
c3PcgnwmLIQ2Jhd4T40gj62gGpXmTUrdCXlBtWvbnBXHYOJxs32lmTPh5a04xqhjQhTCq2laWNfr
8FIawm+Thg3KTOqRfx/SZDb23I8M9hgwWU3fLss7DZnz8hgnTDhYIXcYn/X4Wh6J8qQaUz0obZD8
oRHUftKRHe9WpJCFHGFhewXljJrYZtt0sJWv5eCfTMMMzfurw932bu9tt0ptr262W8/b3rj4/cbD
fz3PVXv85N1cbQ/qgM/c3ODXo+fh2t474trmiB/x6e3hcOftcfUGXz7go657wN22O4Vb4vbzR7YF
vn942t4dDribwu3UZr68PWzdr/gIHkG587/gZ/yyUcrdu3vIxWdxxw+7O9z+yvNwq6/4l8NGbTa4
42fvRh0OT+qwcfGdzWbjblzXnT+2wfdxv/lm7jV+uMFK8EQPs/jd3j1+3Bznj26OB7Vxb10PP2PV
+12Bxbt4uu1mf+2628PNdn5QPNsO33xwn3HXPT56vH3c7x9nNUFR87e9m5tMzWIfXfzz5S2zVnZM
LpKpLK5qRmLz/mZ79/WwfcKiNu6zuz+6jyuSzNNUhy9tY+liTV2lVgPb2Hr3n/+8C9Sd2ny5dYla
kUPnJ/53evhWziKlqnVdhmKWgy36fHh4wD670De2ZH9141257tVlFZozNlwSSE+N3jcbHU8QeON9
fYK1YJ9WBNA11c2b+Crjra1S+F0ECfdX26vZoLc3L//H33dft/CNO9jqzdeb7debO63gODdfv2Iv
1fUOhnV42B12u91mt7tWt7Cwo3u1hzl/ub5+Mcdr5d7usd/wPLiF595fuQr+uTneu1dXsL7jfr+y
nLXVzOD4ajWMdJ0fQ1/eZ+8JfgONrVk1X+DrG1ubH+GViAlInnOIuNp+vQs2cEu4+93s8FDbA/53
UDv8NHt1oLDC48996fbqp7ff73/26v5xzUT4DLCXbGQBwFnjUCQxMMq7w9Pd1v25P0Rqu9vOSr/Z
AuO8x5sZJrEx2IiNAga686/e3fbJezo83HifC2DbTn2++nOLG2Apdzu1e/rQQX0eUOThsIPdbY6w
81Jtbp9jdXzEVnuepbx7GMRXqf7Y3AJJtp7ae5t74NDxZgaYy3vLZ1u/tE7nVPFJYQzUhKUCsG/U
Z2Bup/DcX3Zb9fAXMmN5ANEr17va4iE2wN3LT0DNOcZceoRFDJrE2I/9rOrPgPcbaOFmxrWbR+/O
c68OB6D1/iu8BWANxEeU2G02GvC63ULnCD37OQp4n7E526/e4e4OgA27uXsIlPoEK9piTxAlNkd4
4Weg9lG9YNlhd7g7PPw4BOrHw3zTP5/uvkbqaVJ/BuoAsAMO3T3g1x8/YI3A/L17+wiMxd/3+8fN
4/6nC8jfP6onRJFBqUDt4Kqfrm9vP90e95s/Dsf998d7RAr3HuHA3WwePfV8jUC0v7/yHuGianM8
XgOzj3uo3oNWX9SMlf+EuhFcIRGxZX+DuHxz5e43t3D1lw9+fMQ/z6Dw6F3df/4MQ3S/r+zIZX+3
yCLEOIFfGAIhBlHyCn9gu7sbDyEPrq9c7/hXkHNX7MCUl+0A3MPCFDshugJiIRPquLmD/8PVZqlz
9NYKXqT+nGM94BJ+cVD4INBh+zBHZWw0Nh4/PeALB3WLhGCLn+bvHg67W/y9f4TSvKN7/5LYQK3b
OWrCo27huYeXdGF/PMIhZ1PfzjZ4t53hNFR7mBDUD7TeesDjq3kbvf3nG2Q63v7Ow3cub8AcHf7t
EDYFUyMdywRbY9lCEDFffwWG3TTJgLR5rRzL6LyxKTtXUNZsLks53eW/pVCkfwxpn2VZC88v/Lr0
HZrVys9jufFbg6sqH9KvwTBpL0qkcXtZ3ttVcYLknzhg3RyGAuF0Vak5CS4Hp1JtJdkWJd2wDdPO
/KusO6nqLnBN0B0HoSaEcEyULigoT6WYrRPFFfFRWLPQ+kQinR2acphWjPWt7iBFci5QhCA9X6bN
lU5J2AhZqSFhoXBDORStSirOW9AfY1ErU/fh02X9nYbIeb+4STi3HOKgjrLIIk2SOdVl1o2VKnRu
HYmhudfVSXxDWsdeWd4ZUTMlCMaO0zk0L5RolRkBb5JAVNqVqpP5tC2jtnTrOEuPl1d1RpMgCNnM
pnFHoDI83S9e2mBt8qxSXVTHhzaK7b2N8u2aFVTe9VUh9pflnbHC1/LEAtvGppgKu4O8CkxWuc9M
vzQ2cWdHK3LOqZBbpgQfi+XZcqFCP3OmMSq4VjLVYefG8RSPXhO101cagOC6vKhzSuTCdiRBXe6A
rzpVotSV7dTxqMF7WonXdpV1G9q273LmjJ49OGwFoM4uzqHCtuBn3LYXrtyx1neayNLKTFumuIyt
TdRYQgXRFKz48zlRNgE7DW8G82gtgoJpcJ4YA9FqrEjqNVZq39bxZCkJinXFwU5TvhcHs1+LWjhY
N4myqk2sik/FXRiKYOcko/4oTMque5boj5XTfr68cees8bXIN4qMjKFPTCgyJJnLKp9v0UIIVtz5
rBST2Y6NQp/wpS3WsgyryQC9Vkay/ZAUZewaTk7v/oO1wNjhzDbjwll4ls99pkMptCpqEH50KOxt
1BX2CmVxztRthzKQUqYUcln+VlJEVaRtrYwKbQfXkWlyTO3M/5mVdfgkgVfNinOdtUDHBhyiV2Iz
tlhXbIRpFdlUqwZ82S7t2i+csT8tbYnN+xUoCCPWHLkca+7HvA77Nidh0HNARugbwu2z2vFYajYr
DrWofmczB6kjmUMleHsEkgXihoYTtSnPK6VpRVWd097lUxhvyrIMQAQXaBvYfOf7SbKjvOkNpbu8
VRNh4QqKvDVLG65jE8vi5ks6crpeGWUoLDtEGTNvUvs+r1lYH0LaZvXKDpqzG50mVJBkI9ex0M7i
5jL1GOrACc2hqFQYhcmRpFa31bqkT0VX3QS2MRyrugSHnxSmopDvDmMSutiDxmzkoR0NvZIKvUUa
ieAKj5RgUQmnC7fvR+RHRjdoVRKnp6oPZGYrq+kD6vUksEoVVZ39ULdNNqzs/ludQ7LlILqjJfg2
PRotOmStiUgx0MJxqyJO3Im2+crOnl3fKykLExu7Uk6BBmijrOu8Nkgtt9e+sctYoEb5pYh7/W6I
w7qwwVCcLUwiF9jtiD5H5wEapaNTuYYcmNuxJl/R3lvwgRSbIoe1qQlWfBFn88Lyk1o0WiWBtB8K
Z9QbmtTxjrRp/GcTVdP2MiKc0yNM1kbWzOEnS0TwkwIEPkdEsuOelV6nHePK8kngOk5W31jdKBtv
CJAFrqxzTe5inXYbDFoXTKs0y6uruC+KQxm2003cGtVVi46xS5LYXIG/c8qds00yd8QFowv4G0on
02mVQ7mRyT83Rju0G0t28a7PJSlVmBvNp8vqne94CgtybkhQihIIYXGZC7Y06HNeB+hA+XXu2VpX
Hs3iThn58P60E6k0MhibckJszhcekbBpSnqblWrs23RDkqndDg1/fzIt0WdHQoJE0JqbNqeImo91
UTBrLJUhyn5HE5apJBb3RCdcpRVZsc4zWHIibbaiV2VqH1h2PdhAKxKlvunSSCS261vVNK5YhvN2
n4TggszWwdBWmq+/EgQ/jtIwnEqVdqQ+ho6R7Yo8I8ci486mFHb3NPSGkagMNFL/fleQZO5WIb9G
QU4XixTJ4ExJg+g/GY18TDW37kxitW5pcX0oKnuKVRn6fGXFZyxTgndBhLCEDbtZBAjUJHZDzR6p
qOm3qqQyVaUZhyoinfF+rJYvtTJmHVCmvDCzr5TrlPVYs6BEQhUW3RUmKNpDRht+jJi09o0vmlCl
um5X1HpmS0FxgHdAIuJw66XL8UpqFWJ6AZM8wOvWtgKVRpHj9VFRH3lB29uBFbHKHVm7Our+bvz+
3xmCOejajFomsxAyXpjfV6K53+el1kCUIHZKZZGcbsHFdDfvxBZIAfuAyRviIN1aYkvlD7TqJ9js
FDVmoeo2njyUuOmeliK/vizrjSPOspCaogIU4HLMRYaasIhFvGxKlch8KJVujelrZ1ipWDGVN1Y5
y2GUYsvADNhLEMNASulgMKGEVSajV5cjuyJpmx300NYr2HJOlID9E4wOIdCKBV42vZ8XRZZBlA5q
zFKMhldO45ewIONKcnhOeciF4AImJ9IUC3DRmRNGg4WZoYqRaFMZyHXDPtQrDn1GyhxmEBqhPCLE
ooytAxFKHUWAMD4NimCMSOkic96/QUioZz4PMhxr2bEbzaC04tovVM8xbVUCqDbF4MT3vg6mL5dt
7swGUbCUGA5DmEGsWSCUsDIdGkFSKqZbf9skTe0mtItdUCIrvZhzqnstab7+yl/zYtQ+Jq5KJe3u
oyNyusktv1yxtzkynqQCEkkHKkrgH3AXLf5TIWYz6KwwjUKZdkGudTzox4z2xUEGnE2q6Idhd1l/
pnVOomlZkjJmQurCwiedxmmPuSvFAgkFajP0hjxPXF92VqpC7of7fOiCDYZ55C4n2vppjBgV43m5
DWmfPFx+nHNKxkbaHBMOxMRIxen6gzzNWseH5QjZTZ5RGvEGFMGP9wsR3LaY4Kg+gSSnQmzdT1Fd
8kINUWVFGPWK7cariSztFT84t5tCMtBGlgR+yNl4X5mMz5Kc0BHGmcf54MYhtRXpMYrEu33eGOOK
tHO6czApIR3BbAE3P5XWDrU9ZF1RKtFw/yrpRn0ogaLe+5XngPBgyIGQRy6JbZGKio4BEDGus+q6
aMNsM3AardCxZ9YCtaGIAiJio5aaS/LCSGQUznmqCG/TXjLXjHj4XqoI8z8EDARgA7WN89I+f7U/
ztQZjTHbfhLR7CYbB8sr/dxZwdy3TMcsBvNBXKCXgsptXuwrMZk9FZxkolBx60fXxujQranTY9Fz
qWzS3To9fygN4m90KPwr8N1HW5blSnyZd3+BLPBvzNGCE+Oms0wEJk1a2QQpEgG7s8xNM4R1/oEN
nHTXvO176g69TKND1UlrjaY94waoBjCLZVGbI81auIFRhJy0mSzUmMU0cUNij15fRteUBcxtax//
fbeNIvhY4KApxeTSMmq3lhiyiQBFWBhGqq9ptRXZtOYJ82OfatTEloIhgwVxWy7LAXDOwVAJbKsd
RoGbOqI4jPkkDsyX4YoJvdUgRDkUaSLqD4ssCypgpU0qDg0WCY8MbyxSjUlWzI78IWvKv4d91vsr
fj7j/nJ18LyZaQR8MUzJnRhtmGg+BJoWqswzw2NS84+67ac/dStSzzRz60/QIMNVGdJin1VW/fXy
Fr41V5OCQLFQ6SCTBKqdis9yTYKubwtF0irwUlt8TyvxlecgqLTMMfTL1rLKt5AzS0TRim4aWNZ5
ev21l9Z9FEeWqQuVGxaKVt22e7hKvrKTbwoOaWIQniLCwT4RexZpnhU3mIIrGsy3xkY1uU4eRZ/1
NGbMq0qffdBJN0UqcUJwRiJN67UYccZmObGRziIHBHu0nB+splIkOdrbykh9veVBMjau9M3wqagr
Gq+44RngQ6sEpbKwTfAoqAlOVUotI2F9Q+D4dv0BuJg8mb5MvI5VGAFmdcgfE5qhVB78vm62lu/7
Qhl1rf8IK5aX7y310ANDwgtmDun1PDR6+jBWijMRk+7n8fUQ7tq1zZ+9jXw+J4NU6egnN7Xz0dRB
+O5QBrloo4M5w7wmtxd2RTDvzHUJS+YjSwu3CXw67SSGjesVdZ/bWxRemEGlKCdNNl9/HWbyPPYx
eVqooG79P7oxpmIzmtK/aiLWit1l/zwnTIK2AgMpCf4stNkwCycGGsxpT2DWj6VZtLd9Lgyvs4v+
6bKoM+BnzyIIGooCzT56ui7TZ3wUOdYlYuF/jxtz/MNpRLdL8jTdo6EZfros78zSwNFj6piDEXAw
KnAqL2VGlLVjAVwvhOMZIRqYVRWgo47vvH/L5gMcCIlYGtjihW1EdlYGdRMXSo6sChQb2tZH2y+n
B9PKwQVeXtgZTHWQU7EZ5chMOJ4uLB5yOw1aI1dmlsWuX4R1rAyNxp/rO7X1vRmrjuw0Ys1K5XRO
LuhGiKQvwyQLW2mb3kwtKiC3z8HgDG3Ebq0RjcYqj8I/+oIV104XGivJ3ZltxIACUgCB5As/LNyh
Ex3LGiMA1DVgCfwcXl4munCFqO0VaDljoQ5wjmMwG6wxhtJPFTvRvhVdnxXKr6fJTdvJ2o125+zb
yo+9Pg+MFaLl3NJQVs/tE/DFKBZP5eleBHpwZI4WJ7MPljFZXhbw4mFyonTFQmcLXKQBDrIo9BoE
xukRIE9FMVtbTTDigAYJovQWRzImL2Y83F62zLNSEHe5xdENlC+B5BV0kaxMMpsDTXSc6o32iXMV
GmH/bi4Mh89sMBIOSFxuibkUfiWlDtF6s8cSUlI+CBeT6Om4ZzH6at7IHaJXIPKcVYChmusYJBXM
WaiOkMmu2gi4ZTTNY9dM91mhe2Ujn1JCx3plo85JA8c3j1CBJkZdd7q4Mq9jm5Zw7mrUwTGPKrqt
k0AcyDCUV1M/tSurO7NlQGQw0ZIIyOQLlEyEVfYDDgWovitL9GVDYnVeUJj+WhZxxtghYibGwNHi
QND8IK92bSiZGTYR/HjoOpF5GWYHPJEUTqSiyK8eLxviGS1CiWhNYkhBSrSnT4X5gznkTeDgQJEM
ee7hcfS3vJqPkPkGiFww/yx8PzoiYoMtRU6C7vAybE84rjeEA05qxV3ku4kReMzyIzC13NgwvxrU
MJi9d3mZ53SKpJrPFPTMM81qeKXTsImNMjMYcsw6PVroJm7SjAYqYdYawb4maY4NryTZJcbCMBWU
q7Jtou4AqG7STT4mXelGSYmtvLywM6FGirkxOucmiCmLheGUoJOGtYljfcPU7KaRGx8m25ee5rXe
GIMcj0JH/qf/QCiOYr6MIKFaWgitMtmbkYNTaHUPJUYYBfkjG+0/QjuvtsTWdNvXIVuReaY8A/Aj
q8Z8KsYW2EKvtTMVdUxxfhGVkqmCMD/Kckg/jX4Y4wQyzb7yjFQeN0h1sPohWwGbt1XM3BUChCKj
xrmrpfMTVoiBplGOs5eDed9a+ajSsAqeDV+3N5Nj+Jva1/WNUdYrkW/2v9NwNJsrPAV5NAiFZTjK
GyajBvyk8i0MDqGlEWxiGlv3lzf0LQqg6hTgITFWBh5tGV87kbdRZIUgbPw2/BpMYRd6DY5351vm
D8XXpuXB82WJbxU617mg1ISNGMiXuBM2mRGSChlE1kRZr3SU8w+ynZJAVWirbDnNuRJ5QDrll368
NrVwTvpLFo/j0WLOs0+dtDMKEpkMaSjB8dnUEwYcE9x9Efau7NMIB4lzf+q9ciBlsgdZbP64vPq3
IEERQ3BOD20JaoEpPZVvoyOBNBkgYQ0JPeDPc1KyfmeFjrN9tyRQpGCG0Mp5IdhPJaF2sOSUIkrm
vhS5l09OP+IINXr6W7vjY7gCR2+9lMKOMDA7j7sBGBaKrWMjiYemRjixUv0dAcRL+jjxzMQHA9fk
xS7IRv2l7EW5i0fKPl5e7FtngXRQ6RhFJsIEIbZYbGvbSVtDOibH4iuztInicW692yVnKQ4a/ej2
YMR0kQjAQxxMaffIEHtDHuOR3XbOYBz+g6U41uz1mPaUy7maGrN+BqbSoMh+Kj9gKN0f0YQm3dos
2BnPB7ltgaoUEqODy3YS+qc86/M2VwFh3JMaRx2lmQUHzPsNR8dpjHenpJiDI3OzQ+Ak6ZuJsDqw
xkLPW2QYMd2knZPecvBeGxw1Zx8uq/CcLWLykvxFWGIu/dQasjgiqLdGxHzR1wcSa+aCTMg8a+zT
Q1lX5KjRb7/nVVx+wTm4csUVzmAM0jioFKwTBuKXs8E8TTqMfiD59ofAsJQGo/iBOel8In8Q1ZNl
GTgZz1mkn1gUjNXK4t/mBciwcIR1bhs7zF5OTBXGVKKlnKKvNhXkCzYjslVuwRndFkfta4w6JslD
YAz8PwAcCMZ8ATYZsLPk/psoqnXQoQgYTV27Bp7w0DlT+NkUbbKSuy7cHZ4nMdFjChQAwHBkdqcb
7Hdhnkk2Rh5e9cA900nrnVl08QqCLkm9v8U4wDNC4fTLWg3vGslIRGnkxehRNDJtvS6YjE1BYsPV
dk1u0U/Mjwk1PviDP2w1up33ftu805zfPMYC3FhJ+gbJbeRFVZWpgYtqh8Sw3xUio14ip01h00bB
m0G8YZhxc9mZFhHrRToG/DCxYoJJBYNzquuqiIooFm3kOUHQHrm2xw0J2m5bRN1am+Hctr4WNfv1
6wx6omLkWRd5rZTRpqGp41lDXaxs6wL4XhaE969gS5HNofCZr7+SYnRhwsMoDj0/qkR/JJiC9d16
LJPqgJc5SPIoysZ/ZzY3C8UkPbwRZ8wJ0tlFEktHpiteyMDr/TC44Rhv8mbmaiVZPbM0AT4Pb7sw
cR5HLFPlFodFfAMEkyeH0cmuWjOlyb6hmbD2OK5f4wyQKIH4lw1kATgvS0Prcp7UgmwUI6f6LHzh
h9HIIi8bSOyjAVy20eSKqe5NvA5jEIN0Gyfs+l3QanTbLwt/YzLo58P255fc4O05oC5OhVddI5jh
58zlugn2pPJH18bg64qUBaIzGyw6sZBGoU1L0QteSGnTCAdYCst0g2gMOnekaXEX60FuDHswNvWI
aJ3lZb6l1hSswPkb94NoB81nzMPN7xViC6iTcUH8JM6oa+IlHuYHi5ed/hg1jWXgVSeBqJuVbtQ5
efALxHzkchhXX/hgOLHU8o3ScseEdSrFm288vPYhdXk7Vd7lvTsjCty9BIWPASf44WJpJU50VQlG
avB+ni7c+DqfvAFxGZCmq5UNXGQE8wZiCgItdvwRHMHp1EzixNbm0PZYVU2Kq9DPy53hT5lrGSJ4
wIuBSuX3bezG2UCve8r7lU1845ezeLRGkNRhcgeWeireMqREDhxaLozU2RlTYylmVyCmiUGRHxTk
/rJm33oFRYYFtcJ4kC++nP99BXFlMCR+7APWrDRhe7w2qdvoKGxWlPp2VSdSli+ZSiSVhk6o76Kj
L9wA7/Rx0wGTd2Yo77uO8hWcOScO7Ow8nI2DFFjfqRJ5Du40cuzAA4iRPN6WrBqj0A15StNWOTkb
rXwzNmnEtu/XJt4YBhoAqT+I76VLgGrEDL9luHgjlP0lTNDGLOp3jgNhk/C2EwxFg9FBBwgef7q6
tBjT0HYIc0cs54skRY43B+XlCgP31jBwAILgBVaYcRfIxRc6jPFagaCPZexZFro+3ImKjRFF5uG9
CoOUmSNCSxTE1JKaqgvah6VjxF7JLGRmOPK6jUi9Zg9v4cMGJKLExRFNdFzt+forIwdV749UO7Fn
dCNesBQShLfejPeDj2b95QW9CXHzRBNyKoriBYeFliGuKuZTtlGUeBpHxb5NSZs9cR7orY754NVO
YRwDkKgr9n5ufZiEoOjfYiwAR19P11dNUHCgocU4CjVaxhhlr61cqMEw+xVPPicKHoX4gnoFvMjC
LHgadhGOfqGDM9HmrgyLzC06x/zCMGD4bmeaT+9hBgmM+kzrLeycTDoay9ZJvLKfip2s058VtddG
D97uF+wB7QjM/c9hc4m3NTXx5iCcbIUBivEPvLxs8iaDhdc491rfkLBMb/LJqNZ6Y2+d61TqAid8
eyxwZOvl9V3dtO/KqNkVdWftL9vi21wETU0waAibOIKO/uapWfBhjBJtoCgxnDb6kCXtpEYx5G7G
SuvKDGM/U1Hv0z0LG//5suhzC0QQQ2VrIQfCoPWp6GGqS8MYBtRDtj14dmsl10lD1piks1JAaqO7
D7YXx8hOpfC4xcSTzyNPWF23pWWRYIbMXON135o8ahoAIZ3fnIVe3KKoKgTJcrMJY4+0k9/uir6s
re0UV0m215nVNCuQOJv1KzYXy4A4HEjBC7RQRaGaPF1UF+RM64nFnj9ptgsSPd3nPEq9uJq5Ktl2
csVMzrgAWD+M4My8OdLjxV6FDfsfzq5jOW5Yy34RqhjAtCXZ3YpWsCxb3rBkWyaJxIBAAF8/R7N7
od6rmZ0XtrubBC7uPQmUuOpgfV2h2zAmBWdVkaW+wqBizgiIrO9cpbU8/ecl8m8eK+oxRDf41BJn
5j+9PEM+m6/NsX7E4XMuFIvXw2wB6S4Y5v+baf7fPFQ0/yUoOWw8TFX/9FAblYQKeYys18aMC+xn
aP06qA/qspvLRk9XnC6z/D+XZQCNyO36POAQE1b/Uy9Hq+PQ2lrZK5ChHbCl4aU8TH4V88X9/s8P
89/sBBBX2OYAikHn/rOCytgKLMCEkETo6KvOpa7oRGz+/H8+BEg0cA5Ywf55HE6QsQg9n5E9BNDH
aVJJ0qujif/lBP2XdQH4BMcYeD9gNp9C139c/x7DG8hFtvTwlm9PArB7n+j9uEwhLb//5x/0LwUS
6x2RrGg9sL8p5rV//Ci1q/1TXL31bCnylwHKrOF6jgEm134Z9qTpcXIf9dTRY934T3bYJv8vSwQU
6r+8OsxPkEqiQf5UgsBM/49fAuMch+mTb6dQJPwzZjHmIhOPTkQ98q6UVMvYlrOMomnhn9RMtEkt
k5Ij5bEJw3Zq5iSV6dco8zC9zxxaDHp9iHolr1OlgFB8HwJnil1VxGkkoUpGhrojczIQhoBQpzg7
JceYDHk3BeW2pDcOdC+7mIbt+Yvza0OWrpym4/PvT3HL37ZqkuZvapL1+B6zWOZfdlnt8s/GqbFd
ZpGHeWJkmbfPUFPD5I1d2XyTVKxkIMeYCz/8pAwIcmXHnVXnjM7KdiHl7mhaMGz1fp+Iz7QElk+i
fgW8k9HbcnQ6+dNoeJ++cQyEOWsX2KIQ2oonI6veCcKswpdHLujNujNpOjC36viaBlLCLrkYNgy9
BEnOOxZMs3/zNN/Zw74UJL8STTMAIMRvWYq3TQSbxz7fDl8VV/sWx5ifjGOemE4koqHV1T5pclyM
hNSq1ej5/XRKw1zDTCubDfmrIaxD0i/TkIfnxcZU/RGrKrP5YpAU+H3TGGddL/ZlJV+gl12GLwaJ
qBA721TPGFScxlctoSz5kdoxgak1j0rFr2u5QtPajIiOOHmdbKazVSHYk/7MoZE9yYltvhdDqPTP
1e5ish1AJmW/6oUBdG2dYmKfMMoOTXo15Znxz+XsDccUMUa7ga9kCaGsFdlu4/fSV2L8Nhe128gZ
CQKHE9fCOjs9VZNdnWthm6np03FUizhaI8YjsO6TlUWPPYfSL9/3Co59zF1qbcxrDPkx+HZ2RSRP
tc5H8ZvixM7GThJSj7qPx86yGox/UtivSzklxUcWIx05QGm9TUk3ja5iUzfXbk91F+yGMOV+bJZj
xMdjIzcvbAgSmnW7lnW8hLFQ6q0ueMJ4C73EFHC2CFsdP1ErXZa0xlIeHzdbQwZ5IboJOm8zpvZi
7Phocru3cx2z4UPvKiuwlIdSw7ZAQkiTHzUNUcOzTn3cXTcysoW3dWpienNkK43fqEIa7Ne8GYx6
gbvVi75oBnJ0sEXEChmzZlC9W+aQ3EtEOsHwDzA+vgoC9YjpF1viw/djq+5CYCV9Nay28VwPCypQ
B9mdnpIeVqJ0JFdbEGBeW7XREN4UldioZ5kExDQg0RmJrZDuMqL25DbfM7k23ScF3iT9ZMik3SmZ
asCAbcw4uIBbS+DkbLrUSRv/FBMBi9UPk4YKqE2XkCz0DImQQtixTkkMaYuwYHW8QWFJ2NjCVT6o
uywbCVSqyPmBLLkNSz3y92Lb/Tp31ZjE5LmcVoQnwLUThoa10UAiY1sU2ML+liywaWpJNja77T71
EFrfVKnYqPnCl6QQ+/VuxLTay+5hDdadw1BQlf2al0Nxp3JWSovsonlS07VBtWbQSKeNWdscGTZF
l1FCVt7N9qjX7DrmEuXr2yCKYO2z4vnGm5NWTXWk3/ZhweyD7q4ucvbJSZLq3pvo/W0N0ZDOTusY
6dEeTbDpSeuAWKC+IQfbHyVioberDXkeM4Oi0CyctU2RHc2fWmbgPM6GhfKvWeejuk0TrpOf1Zzp
5UVWcORD9QexEoSHMJIuf7IcNbnNHLqF7vCzc7dJieTCl4AB2b4mZtnFRYixzG51jTyqDuUr+VUZ
iYCj2Yb1eh8QgHwUQ4qQiGMb07Ycj/G+HLLpoYHz4JyJhj+AV1vB98iq0cVLPReSnwA37T5rQXov
00O5ugPm3TXfKPmR5cC+f+M3zfkPUzINWMAS0lzwtUA5pBO3oYMOQeQXyK0TcauDGoq+PNCmd5w1
2fYjt1lNkpZIua13pOCNeM74LLa7FCfw8LjR2Yc71Lv1R6RpmF5H1WzD7yoibPkJWc519WS2JDY/
oAXalrNeyFz1U7q6cEGvGkzrvIJo9LQROXwsjU73R8hWZ3n24+ybX1iyC9bckELu8rSXmVJ/moGy
EsbCHc/htES35x8zdUCnW7LsGVY11kjin4pcgp4iKpjyqwoIuL6ZCKOw9lM/CP46jLVJ1BU9dKmr
c1Lso0+vPAaFwXfxqNn+19XhSD4cp5s62smk1JJOG0KzX9nuvc3hoFe+jD0cGk6LDklI4+jbppnm
Al6NZfpUpe5TvnndlUFt6qOyMklEu9Sbhlt2GjPTvG+UJetrNVM5o2NYsNCnFsqwWGYdX0JeQJmS
WmkUCmnt90tdOwEPOniP7X4mxZG3EMogMgjB2qjnkB5o+yahC91beKhmi9KYIo2cQwcCjWW6EBBJ
fpkhK0r4TOtXP4I4fR0OIv+MamU10ErhONDgNX1NCRCzLsdazDuEne/yt7axfobACyd2I5PJP5Xq
8Fcj9tdwx6d8Uh2qz/YDed7uwAHr+JuGqOdZhIX9KefCyKt18fnTehzlE4yno/nfY+FtrNPdw+eo
yxt1bJP9ik6hBiQ9FY28bBHhFhcEmgzmlFQD9V2+NHtxFXUCWQvkvvJ1SSu8rBDJ9b6HJO2BjU5J
O61IPOggxEMcQbEJwc6sLIY7TDdBtqsU8X0mOL+vV5Nt9LRO+oAEG6nap31L+bmsQ0rPFOHnFwwf
SA1ZA18TiNqGbepXqZakcxCN9zvYC3s5cLy95dBiim4bcMZ0BXd4KXMQSAZyULWaLuyH5dd6dlVo
qauhHUNaXDMiQcgfrp8D0f5mROxFaBlT1RWXu/GIrDnqtE8IjiHke+OjOrtkHJqP1A6029OlJH3u
M59CZDdOzyh32XedL8q1WWj0N8qq8Vsx+uHvBGbnCQnh0uOJEJKcp3kBj4QI+QT7YWHN0Ta1RrOK
4Ji1vFsH6fnTskSlLxnVbL32Czw6Z5ubzH/jcJpvPd0qMres0AdooAVLs9SNpKch1MnSMfybh8/3
ACQ88MV1ZhiyrEOPslQ9jehFoEsMEocIq6RrS2Wz9+Yo5O2YL9H3UDbP+A2JN/llJnGDqzzO7OeC
VzN38yHIOYfzu8C3VZAUFcWqIPuTPOsw7MgzowJ/BAyLHnzktUKOPkvH150zNlzRcTiytkKnAgkG
q5ulw60G6wMXZT2dq4wh06bRtjTnfNEJKP0m8qZdol5CNzkoe1tSpBPF1pdJcYpWrs9HhZT5r5KP
LO2OkjDTSl+tuuXT5v19UY0rrNZj3oydGo8q7Re8z/XLFpPsahmZLK6XXCAVX3pC0V1WNo1tDmeQ
a01lUMx0nKk4K+nIQwZp1fIrXXhoSY2a2W6lt2M/jRv+25xXDT+5xqHjK6u5GKEUV9VtI1hFL+hx
a2Jb0Sj+wWPuj48SwSs/pFhxnrBpnvNe6abZzyaOCX5LqlWHbokikfuA3ONm8HvxmhVB1zdqgA+g
m3I3PsdqVEm7Qnl/692A5tIdB5o8F9cm68uF4pYBBE81iF2c/PwYtiz7qWkz3c1ikbQ1ST4aFMOG
zZ0aHArjEVP6bc+S8JMsfGha4uicPmfWILKggMRB/uD75oCNcW2s+oJtGSLCFj1OvnKYE/I4oa99
iZYg2iVZsvl2SQvbdAuSv9Hw84WP/ThOdX6FV1W4c7TTobFUVfPsYDdhp8HPZvhM6nfT1XyQrTxz
SHUQnA8bU3UezAA4OJJBTu20+PQHPcinIApuTnYGCKlPTe6gBh38NFxi5hLkEBXjKC8E/fT6fWL5
0a51xedOjxa1C8wGru9oD1gk5dUOv+sjsLdM9OCPXHq9VSaFQ4xgZsH+KmfiLgg49+xK0Xpfb9Gr
YGrjeC0M8X4N/p+E2UL32lPY4WFgmb6D1pcfWRrHP9O6HH8Q/zK9HyMXd6qANu+cY0p/jMzyF4Vb
KnyfYEH9sLlK9CXhuXrZOUlQM2Ua83PlS4GmIBka0hdoKPJLmfqUX+dC6hfw7MUYO8z7mN6iUfnz
Do9dOMGBtPbTwEqcBQSnVgcZL/KxBkHrGc2gwoDqRF4+gpVHOEWEmak5Q6Of7GdS7ZX/xlRT82tD
Odph45LqFIXDOdTqWeXmtCKvbm5LQqY3NsI530K0lsgXZsOheye3Ib+gFC/3EFEMsPjmsYTtxjZl
SyNDVgCEFM3fZM/838SQ5q+mBSZbx4YtdDaxBUjLWuM8g8BOzJhDZHYaCozn0L18Bkb6VG7vx3HA
6TJOueStbmL+G2QJZiDTpBwtMtm/1UO1/JIqkPwmhzv9kiZlPXeAs/cNWRxAgc9wrvC1Y8UA7ck0
bemrWwaH7bLE8Wep1uNLGenw3phAnmye2aeGNAe/rOh4IJ80BVzFlQTpdJoZ284HlXrGHS2+HtrJ
zuH+2IRPzoIe/leFSFLeFiSY3wy3jkgkvai87AefVReR7C4BcDPGd51QB6v8Wit/5bjOfx0HtRU8
PWF5X1E84qmyNbvPWJb8zaw8vjgCHPycb7p8d6NgL1OBlAxYGoW+seWIFqkAmeLaAI2PuxIQ4YZ+
O2b5128J+aW0ZxnqWwhf58UglkUvUUwPbN4oaFPp1Ecq9B66IzScnwKhQkC5KewtkX7dMSCE7e9Y
0uFnyNfxyeIIfyzFZN4mU9SydXhqv6vN7Ldebil6fYV33iKDxaed4AR9oBDTp22XasgWEhoE7iKY
Jvul2TGGt8xzg6kqTJ9jQl3Mj2kmvTqvyVwAkU+RaHR2Ojjbsm0uqguYy/StNLwokU+iyQPdC2z3
DLbLCkAVZvjew9a+t7TyFaZSKAlqsE0kNKcj97BwcO+XmwjOl56PDIP9KdsMaE9DjblUDM+6bXDh
R9ktNsOFJVZXWGSDo/Rh2OrpFcoL8XJkFjgQBj+r23xttqQdkMBQtrKs/TMXY/HhlkbcH3rW442f
SE5PTY0m5rx7WZuO209GJRnS8TrdKmHO3jfNC870Ze5dMatbBoe3ud4XUf5cXE7uPSOxOKf1NH0f
0bDam2rcm+epGYKH95HDYwCMpRi6MG3bqU59xa+2lCrWjXSlf+ot9xABqUHc0rjHV3rY1XR7oUtc
6JMFcrQBb+YiQUUeZ+em+GMYffB3qBaFPDcZz06S1uboNkgm0M6uI4a7AT8eTyc04QeG7vyl4Pn4
le8w+raz2YqsHQl6gD7jIfkrZiZvYff7LOFAr8rz7ua16uCiMY+VCQ7hvch2wAOIR9lF2LIekOuW
496cNZaqdTUpt9OIth0XzAiaXBfuwM9sYIJAFqQ8qqrFfqa/wfAN35KV6u8UcvqfoAnC7Sgs852Z
RPO9xh02f4AEisfdrvIXK2J+veBn7h1Ycoy/HiwR0jKg+YcO7miG61xpUeNzbcCKIoM5TkOSu6xN
6bDhyaJmAAfJCv0sEO6BYT+DKgLVs9oeHabUo0WQL0tv10CKny7o4r4q2f4uZk6/5xUotFZTYX5x
jeSp1gvgn52WSylR9pjI2t3q+h0MM5pkOzXjXSw2v7cBD/Eel3kkM6xV3t6tdkSTkqQ27cNQiQW2
ro2UbcDc8UYgzXqr55Lie2crLCEQbiwXurKBt8HtHiMQbKUY/uO8bJdBkuN+qD8vBilBxZp2m7Jq
7PS01PaErimojurIfkCmPzxmtjxcKzEfxU6On13bRt1ypUpkErZuLaulG3MY9m9wLdT+nrlAX8rY
UNRuEtXTokz9vRjzNFw3fOQvq2HLbwOJ9T3iI5Zwnsu58e2CFIwfiQeQ2uJynRnm/3lLn4VTOAKG
CdGZKLFl9eRVUn23+YpRDipi+jo5h6PjWAJcP+XOvbgxCctvhcaQjN43X2yfq5T8mOsF0XSYGQYM
pDVFmJNG13InIy4Ja1cqNtdii5e/CDnEeJq2A+FHDBNxJ0bOH1SOeQI4EDjli9gGdrdHBCVcBtKk
17Xm1ccoqbqBfh1djHBoMVJT+xcgy9XWQ4Y8HJ2vST31dbFCQC8AiCEuE775+xlk0+9DmKY8G7Nk
56J06OiVYXHusn3Xb8l2NI8lxH3Q2itEkrS8kGLvcC/ZcgsqcylwURSfv46Sm7VbjcoEQlkdeq8a
wVF5a/JRfrUNqY5OHmseO0NTf0frMTQ4Cs38XCOJt2rlaubqnNc2PeMdrxGdG6zOMtPkDeIi2N1h
es90X4hC3wm4444rDpbopSLHPt0gORKH44S2empRi8hVMyXeXZJxrap+L2q41IsRRYYCLLsZUhEf
tBFbc4p+4rdBhb3AAFaEvG1I0A/zUeJUU9UIGlPYXV3NFYiiU4Ty8EcxrPF9a3yy9XiH/M56k6V9
c2gsbsEH+d0Qvv5qpKBjV6JD+Q2SIdyz6jBTj5lZfTE+EPGYIIrBjM/NChC490tucDPPYOf9Lc2D
RNsxW2q/0CEby75W9RZ+8UgS3SpusAtIbfAWErTqmAx1zvPLpwAAFmdcM/a7LOZdnbZdx+PtGGz6
tQZxeBVcMmHjRGd/LPJofku7iOlcp0q9IjydfrcLYXt35ES+JTNO3TbBxP0tEtYgeKlslnO6l1il
TWkPcSLaNvXJ22Gdr3Zg3brNFE3j3Sga9CwRY/HXkmrAi6nPkAyQA8AW/bzy2reIK138qa7ZwgFz
5PIr9whOQHx6xC1Yfp/8m6EMbWhWpao6SYEv0y9uw0f7eqt0n8Tg79E8b5hlgwi4EA2I3nyCO19K
YGrr9k6CK+vxt4ifkEJItu2pZqSuTxnietBsHFs4ujgXCshUZU3SkeDjgkNl3dduAaf9NwtVguhf
vIc5uyqaY/25DRZJp0Nlt7wDxoyxJlS5BdJDymW90TQjAjGdeQ50COF6QIn3dcL9cjEWj5Yd/M4l
5FC9NwdGoTFCttdNfkeQ/LSb9ThnGXoMKGBGyIDlKncOgsarZ7bbLMFfd8uXNGfo2wKLiTxHoL60
K9VcPkkB1UDrg12BuHFZfUEsXV61Zi3tHxjivW0BhiRrX+I1r73cyQTAam3GRxcQjNMCKOHJxUG1
e/SFR0IncOim3rF0MnovhkE/g1SRmO3DotLP8i3eZ08tyjQy3PDPZ3TTLRlS95JF2jys0ht/gVyf
PWo1pllfICPiyTQIcESmt0HquyqPDHRVOll0AonOUnK2DSCjVzmxERoPNrq0WxY1x3tOOUa1Aseg
bGtjC39aI0F4JxHxELfzXqdX+7risrsV/P/LhFVloKwR9QSsgi4jivGMDTVDKzPiJjrNMYiWxXix
Y17HHuHEK6jMgRncDYfg8aEr7eDfqRImuUyYUq+BqeYPS3WUfyfcJGlRt0YTOo0FVLWFEDE58zjy
2O9D5l6OgkjSpukcNLIxqKhAwsyV7Fa5QvAdkI3la4gu8ngA5oUeln85kKFWdOBpjw3d/lHfgyTa
vw2QyCUg/AGFIM/2iED9UgMiYD62SLowaOhH0xlnk0ip+IVr7yJASdrwlwEM/XqSFWlCRzAfPDae
oXOCu2if2iTREThzEPx6yDP4eo0HLdMWSGZQfYXOde8sOD6JNxkXDACeFntXsJV+bfYUc3UK0+Uz
KJ8UEMaWWjRC1vLW8BqcVKjM+mhntLw9Mrn5teQTegw3Erf17pjcr2wIiUC/d6x3jEuRXme4We9l
jzR/gvY3yrYwQwOENVH7fpJg++7jUgAAm8bCfPtfkgG3GTbrR2Z3/0DUYF7JsGzi1Owb+yhyjuN0
dT7+OgLZH/Kgpo9tQYQHhoN8eFiDKlGChiV7dYIis9cBfbqqsiX7PViUPPxUrDHwotH21qv9Z6UI
gPkYHRK3bD0JWJIR5YK8NlaccM7RBzBo+hmjaly7fCzCD4ikyU8FZgIHWTN53QqbEnaPxFLwSaPZ
3Nc11FOA3j/i6oM1q/aPPUFmC7r18oMgyDHpMIzWX7LsYEB6d6+/ES/RWU/GJveCfVYaP03Dk8Lx
abrDpO4W5AjctxAyVwRXd+q0vPdFpCWoGSmefBrQ7+Ij1UPmSYloQ4fzrq4citVelcnzViu23eqh
yjwIJumKfqwEYErEaNfZld0oorIKJKwUvUlV+Isn9Fms0GrybgWc+poeE8BSbjFttQUF7DEimqS4
wiGYAteWA4jwLMrliX8mDZwblYU7lL1cYfxAe9+WNVn+DkRS2ik/bRiFXb48M9/oowNfPutzQxVC
XzI/p087WpCkK6HyedRo/3eUg3oC+QT7iIUz3ic7muzRIwF+kKtrOWod7ElursI1hSPwoy4Yo61M
LZUdFkn44SwjL2PK9hlU8L6/Kz4ArXW4TA4XZXq3PpaIJ/294+R5ANKcPiKzd8keN2jhB0B2kuP6
jU+G2DOV7t8HIH/JheXBPsok1fJ2KE2M7YbtVZ5hRgT/x8hn6PFn3vBJao1ePq/n5vNqR03mDhLb
6ZfiwGZhosQ9m8hn5xw00cqnxwxuWHvajdtP46BB8XtI+fB8Q4amYhdJ+cRTzjc86hG9wgI16K+E
g5g+KY1S3AXmsWLrJan+mjwJzzRYp2/XusSRE+C5SbvKFf4dOHhFOw0R8qVE9O10PVPI4z+POWRi
ruuSo/1bRuB2iKHJhg6wbvzBvEvfAhd12rqMk1uY3pePsjoAPCPoGYGrDBTwdysqV7UikeDwi7Ha
rqUm+J/l7ja0tLQSRbfxuvgL3qMA2wEVwSdZLOG5UlRjzEJwfPIb2AlgcYWi5joO+jC7C7tMvglC
t+xEcGfh3B2zqD9x5AFkfDUB/+2RJbc88yMPvzyUXG/4QbilBcOGUKcK7pCyo5vT5nIgP/0GgE9y
tAuW0Fd0S0r0Yz6QpFvqSPJLSE3+lhRqfoVKdfppgc2+Ic4znS7gqeXrxubiY4/L5Fs0PQkwf3Bz
v9Zlo/ced/ce+6lwTfobwvE1ttnAEAKA2ygov064OL4rXN9V3GSTGvbeQA2ChQxj51/sR78BPdzA
E89OBLR4UN5spxI3pq4nvc/0ViNtAnSTV/RjyCWQgHSph37aj/I4V3OEmnC2RUIwMSxEj/djwSR+
M5gB0nms13BerM1FJ/HublS6JOCSYcj84OthnlYV0dSSQQ9FFwBX56dCFZ51ayLy5DYOYh9aBBMV
byTzYITUWGfmzDDAPlecpGvXFISE63mfshfIYZEMkKQTeoNqQYbLYlKgM+NnH9COw7A+CJWvAsX9
UF/JDnoMpzRu/GhjulZPiS7deD6IkT+rFd1RNyuA1a0gY4HzLBPri9l88QeeC+AzitulanejYL74
QZFkmN7nIWTxju90Jm3OB6BNbiyqB2h1V97XOIcjqPZ6Q1EihYW9ziEd4jziAhdxGcRWsdsM5QPI
87SZ9IS7KucXxscAuKc4yHxaoEuigPMywMqrKWOXBQv1cMojf4Wvq5StRJ7FiH++x75UWTQtjkhw
HBYnzYdGiC7twfikN+UhB44My6a8KXlNPAD9w3+d8Chf1xhhMvasmZeOcNS+zk0ZLh8matnWMyCh
8VFPn/kc4ijTV5JM9jv8Hth+yg4QoAS5et1PtNa0G8kKKQYd6uxaM+y/d+gEUCBppUB0ZTmKLUeb
hc2psn1t0xkQA8JNII5EbqLGEDuXm8HdQDLNL8Ig9w2nQTWcqMcQ0VIemrNyhrA7XKU8lG3tEz+3
o0MyUScUANWrOpTFx1ps03eFkjLhIVT2eknREvU1NFD0OXJh7wJNlvkO3Vl5d6xJpS6FU27uikJC
VIPOAWhNmrp073FJMAEAE0csnqkoljcXLH7Ils/jk8TQ9d1jJoDFhywIOIj1Onzj9bgGuCljVXUA
/kEDgOrdb9cVbcpZAlPnncBtuBb22Xz/ktpj+U0EKeZbn5XFFdzX9nfpRHFKssluXwDdg/MyMEUG
FKWt/IvLluc/AdzqhwD6+krXEtKJYUWiT5fzEd2b2dCa97Nb6YOB3AMKMXCwyFFywYNycJR3IUMM
OUI3j/29YguKoJ2AluMkMdXeMT5rvIqjwtI39apoqyZNXxtIj94nkfrXZKtq28pM+XeFkOjPG7Yd
eUI/EaFQ2fDlq1p+o9Tur9wvSdOiVqcMHijoTqAcozualjCuMyKPShUxu0Vt2hkBMIAakCAPmGut
9rpNrafvRWrotzyp7BMlGFBbXTv9O0tGhX4EQ9DaD6A1ryV+IFq6wea3M1rSshOz0ws0K8itRthn
jmBat0Jkga0v1wvOwulXRY/CIF46xBw5T9tc9pQU1dwPeIBpB1luhb06YB10c5bPkC0jMwz8+QrB
VvtZk2FawQum7Y5rpe5UDbgTjBxfXxEwJf5w7/YFKvwoHpRA53kKblxBa4HelX3DHPVnz0Brb76U
WxcqTvHLBrhET3HAAQNuvPY/V57wdwwE8HHPksSXLA0JXCtkO17oGNhzFlwK0Cg9wMLh+FjWDnoN
MNOiNsuDM8P2RdIs/7YrTPpPgJ1y2v0PZ+fVGzfSrOFfRIBkM96SnCBZ0ZZlyTeEHJY5Z/7689Df
jYYaDKEDL/Zmse7pZnd1ddUbKpBXPyeYda9BMWXfGiMhxQYBHoMJi3zxHOpTAQN/isSdRJs7PBZ5
UL2FfbEgEHmDJM6AjFt76OQ8kZy+s7kvpKmLaSfRTHwyDEAtcYjMpTNUefu3h3Dx0+AJGpBvCM6n
IEkgm6DHZe8KY4hat2rm4LvSKoCJSjo6i6tGSLtCLwbWOcqQn3a6TlUeRzGMjxnmZCWlSy1+A1HH
I2Rq+z8jyOLMCZtlFzeNFhXHuUzyl4KGMBvaTsfIlSgMyA69g9B2KDpRipqNJLwN2zI33VpTa+7h
gf9pX4VaF2LvEVIcT2VpSo9a5gMcaoKxfQwaH4hFvADtHU0bwgk8Wie98DZP74VOqZuVj6X7sm6D
B+g0iOf6Sq5dqUpLDbheIEocOF1HIDIpOsszKao9U1QsX+VgUPWdKafUZfs6Uu7ATOaGC6+EwhXv
NYOudKyYk0ucBbxB6pU/Th0WMZ5UCT542NJK9jgCsDwCEHsvUijK0RPhJB8HifY7MTwY36xS9590
shjWyZC6X4qY6fKj4BlhM6PoEw91aQifFT/S/WskWYf7vEIxZs9RILABzeOuLHS8kOnA9lVA5i5q
6k1ZaXBVTEV9I2nEFsdsgzbx2lSrZkcyJv8evkX/tVet9levtVp9VNAM+ZKntOLJ3AqftqSmv1HH
Gwh/Zh0cCwHDnlpsVBzkoQLZM2pS+YWpNkAbcCAPXezdweewfxgBDfd9I2fGf6UWpsZOqvv8bQkP
vNLoeaDlTSZxZfpjhqwh/dLXyhoU+A6hCHJuKMmiPEON4i6tIRcAjzH8u9lMcfSbKcSBRQjnovds
vwhKUiItup71nAp26YNTp4AB+mNfSVNyl9gFl2dWZYPK9qnFdaLTc0LzRi4wlW+N5KvcjvHvoZjN
nyF4cACZoZB/NHPFo0hPUd3RxhC0TaDKcAyDTvZJy41e/GAXxjdA8X+PfpNWrshLsj0zIj83Z0tF
ETJP5WOsluCZxpkmJwE7rsJdbJGyO73ES9SJadcBNrIH9QpQTmjtULrDm8nIJfGWA4YjWgmu4Tjv
5WPYVBwJCv/2Q6OW4qGkAp17/iCG10rl1mTzacMvNcduyImT2PjSN2C/nNwuoudhol1GTWrQb+Fg
D+xwwJXhrgPYV6MNVWq85s2ELoZRK/I1H64Gq5GM0lNijwFAtgWAWOg4Dh36qo8IuH7+WkMifRlE
U9zlcjSKY5yW8j6XxlY7EFyrxDXbog01UBOUBLEDop6Q9tdJTv9TWTqJYOosx4RR2h9HW8/oN2SR
0RCBVIq9GKVAdEArn/Z2LxLOEx/Br8ExtbpB46O3bpMhwtGsEZTHbyGVUT3Ix8Qw8ZapwedSlqBa
wb0Rtru+NFOxxymIknbcifqliNXh75BzB6HIRcfZi9up+mbaipTeAPSNvsREi8w1h+VVRY+ZHwFc
Jgock9zrBR1S6QusRdrY5jzEb1qoDX/p8TFqnTSJ7VG3Sq37WssoCONwOPMeQP+Wrmtu6fUPeHCl
/iXUi+g7oIO2JeHqyw7ITCSBGRmhsiRuXYLAOgaU1Job6LTNbQ/QvHMtyl3zEYfEMgrv6bWO6hMI
i/kXiVcPHn40Nb95boMEKsiuRoLLvJJo5b+h8j28jIEYuwM9eavwbF7FYCw6CXVI3tcUtwNzll5t
JNGQ7bIM+y7sEjsEDRZaJNdF8a2hjQ+wSo7kXxLwiNybo0T3d4BDbKBRPE0zT2vACNHpXg6A1k2I
Faq51VeuxZ1ikGGbIM3o9NlPbVFZj3MnBplm5cw0YShXB5C2w+3cNzPlt5nI4NEY6b4GgKY7+kNK
UlHTtJLnCHkE4XVFUaP6AwqQJDPJJmrFjU7IqZWER78FMEQBMta2LbgUKUxoMUhsG/q3yDgm5Wz6
x4racoRIEQmuW8gqLUNacLmxR3asRJsJKTVrT+U+4W4SKq05DRg5mnH1zHM5r3uVppWQgm8kj0O/
C1FQvUZMRqHCIueSxOO4YfsOo4yqQhVnk+8kE+GdPiIFnytUwXlMAzgxwXbNsfKmJ2oCfzhHRhO1
1T4ZvUz02p9wzomBUoQbjSOJjBqtHYMBdjqC9dc6rdLvABNFueNVPz73QZiFVxKJN72NqBSPZqCi
sDUqJTuyNfJWoWuoKLcDyc1bFffWN+SCbcBHuBX5u9SeoXTOQm3vaitSf4aFaupeHI/y1awHRXlf
20X9OEy5LoPdsECwF0tqn/kiqV1N7kCFkZFLMK9zo/mRhynv3BhZUII8IE7fozKuPRIO6CHBMQOS
K/JUkgC/Sd0DYWruXREnYBzLGEWjofp3D2it3TuFXLS3hEb6xOCI/BeYGOlxQll19AA80B4E5lO9
TvDjGq8C8FZd45si/xeMuSUOskSNz6VMoHCVyAYOkgQXydopg+D5ifp5+ycL1GYgoU6CZzR2+8cp
rHtumNII3qp2mv4LTGB2+6S2k182l3S9MzhYdCKq2KqQoIlNcKETKafLjqfZrYUS5wYWA4kfT+/k
NzX6/K0ozWhwFKThn+niUqMZmna6LYrBfkP7BTQPHWO9ogswx0CWhWT9SeNs/hXxtmJWSgqmrcvM
XnPjKNbbpZ2n964cmenPCG1XjHuUGbq9RqWOrme0cDqa3gYsmhdzBvhElvn4AW2762aY1NaRTXXQ
OQeaFIIyioN6Z5U2sGvuFiyVrECbA5eGbHWH85g8eaZsyDd6kGM2EClDWhzIH5MfVUFUJokDetSp
JaEfwGP2G7hp/ACvtQVnGKmZtAMR7j+0xKfQJc1XeKZFRfdNBSv+vaR386Qb9BE0bsebrEjF1zgV
Wv5YxUOH1I4d9dNRtfrxWxM2DTKocy2QASrT1j9MhYi/dqVoqDwNE6SVSZ6pNpK7IJo6q1Zi7Xgl
ScYu0gqei2NTGbWntpyaXdBGI/HRHur8KtdGtYOOO2iWTW1VJz7oouU/h9B5fpfRXEouWmsFigax
MsW/rALgxAGJjN6/7XnjAOjCqf7rCG7ur8bTgE+tLGIueUCt3ddC4GQTCBjgDa2c/hrq0X/yyfT/
IAq1lFmncdAIBOSAO6g44hU+CEiPDHrQaxWNXOR1q9iHKh0SuqwwhLLjCL7zK2+VEmPjWG2Az+uQ
gwZlrhS3SWEiOomqpikIE4oknu9DkyGPNM0HatNkmzqsgC9xDfzOi7CYtGgedFxPgGvEszpV0a/R
AtnrpqlJlgv7r67cSrb8hzzWwBmR+ZPk0nYNk30hMuOblKkAeTpEQx4aSWlnt7L8bnCgv4FmKk25
eErMaPppdYbyzaChJe8Uf5YlL7RtmhN4QwWRm9QZqWkqifxRsVrrK+6NxassNTqApaIIVJd4SPkQ
d7j8BkqalMNrrsUbevIAPoHjZlc1xKt+p6D73rr8HvnJh/N8Pc9DAUaEAuqfJomCV5VqGojaaswi
OrFsMUcVmTSBFOwX3CUAN8ABQOB/+PkUah6IpJk2vGmVBxD2/J8CbF3BvUf3jeQYSL7TCXTSdkHd
mndtrEsjoTpVdGp/cfxSl0n0ZPuJ/UDbkIrL4PuztBS4xsKxDAlqyxhppPsTke2NpIGnhgrK0mkL
yA4OxCr/lxFSqtg3dhVr3gQWwgbn1U7X2mxkaF3Iyw0Ty1Ua7bQ+pCybgugQOyWzzPvl3akTVLr5
qimaoHb9rqe2h36TetP0s/Y9SIhiDgKXEQ5EPEv2Vl2SziDeXP83QPi7iaqsVb2+lumXRxasAlaa
DenqbRWkTj9P0gsERL7xOCGJbkWz8iRGE6mWCtylSmmMFM0ZkkKFeJPk9mOb+LPu8FgPSRp8ReFA
yKr0fYjE/N2P+k4BEL7UmRGD6960uBGVOw/UYdwZBwp/0RWcaLhRM3rIpjKQgM/yrHYmYSq30MXq
O8sOABybSkZmH2hmi1mUXQ4jkZ72vNpMtHrnMRn8PUBRLTimSmM/SnmIioZt07H/IvqBbgbt8Mbz
CfsNFAvu+is11mzJaVq8lNu8lniLtrTddzxW8xgaYlwUj+qkAAsAM9ZAovFl+l1w5LpdNYZT6dXy
qGiuNUOBdke56956MUjDbuhqJd7boZ1wpkLbINMCgDoDnwuC2FMoCUZ/xoDCzK6bJaV3swICPInZ
lAC5sCs1ukZ/zM5uhz6yHvQoSStP9HMKTasAY3cP5YemdgdPgcWoRPZHSXKl2U/h7I/eNFKy2gch
ibGnsIq1NxPEyS1iulQsbFpKClUh1f8aVSa5RIX1hQTQsycJmTirf9N8xFA9gvfxtWgnFF4WG4Bb
DBHaFzCzGk3IojFuK52+syvmqQRabJUxWoyar4C8JXI5Eo2UO8VXgLyMVFJB4g3Asr0U/tCfwi+n
70WqxPcaqHR5AQxSO6Yaa/IQLcr/LL/n8Uddl1oh1UMyrlinYdOaqfyTjG9oXZ4oOSloX1v3Sikq
5eBr1vwzkAb5FoppL3+BTCb+DLoiluJMCjwTL6HgisJwONMflfN7yAVCAcMvupA2OwYHLiAgTpQ5
xvJjiOlB4haazAfrZVl/6pqatnLVGbR3E7mxryYpaIfDwPf+NnODj0eNasZVTPXksRU9NSQ0zrob
ABHckgXokzuyA66LVG6K3pkbihgHK6pqClgqbIJv1CRTUpCiV8FL5Yn1aGQFYFium+C+SkESOz2r
/AOEen+/PPSA4sgpfDBJKpoHeJL+76Skguz2YuSFoY1WCkwES5VXO5w4zEEZTib4rJRyRRYjrLtD
DU/7nVJsQxlWLcOnUMtbXr6yXb2iM2SkFNny9HegVDUoCD+hpASbOy3BpOflk1KAACDIgr/QdDSP
najBlNzjFE8/7cmYe/J4ARZkoFSrg8IhbQQnraVftQgug0sXyvilW7X5yB3UiH3hB/S52br1Tm6D
mhS/LkXpLtF52qsxxZ1dPLaUsXVrBhgZWtn9gkGdvHCsxlsyl7wxjgEd7WkXaopVIS1XSbdNz615
TIpCXFnURFTHQmCeJ3wxlsp9AxnwT+3L870BW7R1BoAV3bGdqb89wD3z0TaVzIK1CTW92OHi1Zo3
c2uk5TPvAulZsimM0gYqZfD5RkyW2w6l8prmsyaTA/I8+m0HcS85PL/AKPoKpKlDWYEa/2HiGmrT
crFznSAhKI2Bsw0owgMAiqbvoEt7/DZsqEt7UcLlcYpuwov2MuN60RJ4L26AeQDSn8g1yIicUYVc
kbtTZdLtCuAPDWFN/Sl1he90SdUdzGQYHyQpRexV8gM+Xdt5adIph8vDrwnfy/B4tULHt5CxpQt2
yrWGw1q3wFYyB+oVz6EUKHN3lEEJCtid5T09CtuZdS34Uo8psODLg69dxTCYY3RVluk6CmPRTzkd
HZ8wQ6d1lzuJz5W7qxWfg5RhC7hLeFVEwJqoogUws+mfR7yo4Ijukhy0CUkMBe/KaF82ftGae77+
RSuJFQDPflVnfI6g0IjDtDC9OLBVl1TpuSIVJvDQC69ho+3SdtDR97KmQ55TAVCHAGj4RMkBPIm9
sVJrCYB/PwsTw0X1VhEflMWqkQjdaTyJ8yyg3Ap3LgDYkVKNTJrCKLzLq7DWhlhGWxQ+zEXdFEzM
SialHLQcm3eQIMCBrV9aZArgcdClSAtHffyF0a+6IaJzbhsiuacY+rIHFX0lfQFAsimShj48dED1
wQBmQpqrgMVt5fEK9Jx9KHO424UwPmf/sFgcGiCNjWUHMr6y2oFWAQMR/AvtPoTwoFxR/o3K75nG
XXBFJYjW9uWl/TjR0/FW+2syJIgpZQnxMJcHXrTDdDsx7hfwGAKseNV6lVVVX209DfaXR/64sxkZ
8RkdUWMTP6rll72TfGomvVAijZ2NQ5J8HYBt5eIti09qtfxbT0wC2TYwMijinI7C0JGwK060GJT2
Wl+gb1amXNOUH76Z4K039s3Hc4H6NuGD7jENQb7m6XCWZvt2JrFT65bbrKU07FJx/AG5RjleXr6P
Z0JDZ8PEjZx2D/q+y/K+Wz6oXHU9RtwNfqVWV2QwcLGgD0cuAE9YyTXl3A3b9bMjCoSYYMBDTVir
Fyq8sKus48yXoTT89icKXXYbL5XEOkweUGu0NnRGzu0QrBMsiBAW8k9rdfEBRwiNzi3RuO54r9hz
2ZReaTZ9/v/YilgQoQmvaBpfbbWWEWByMgrWcq7MCqxza4M5GquNUc6tH3LlCuApXFDAxJ9+scEE
p5uEjNKCEDCgFtrzMQ7VejdSY6WDTy3s8hY5txlt2QY9QFpGNFudMKOo9WCyli2i9PbjkCMM4o5B
YEq7LiWp2Ygka5Gi5aTZwpRZRQ3ViLVNSWF3KTkwzONaCbK3iIYe+NAE6Mpc3lhNvlgSS23/fHmK
Z8IXFwMiZAqxEqdn9XRNZ9+ahQ5I1EFTAEanYvqHZqLeKrJ4X6W+RRVCaAdNAHjcmO6Zr4kILN1m
NJkILtoqUenVqAitipPe+J31qkK8jrmLlf6IWVm3D+BH7y5P9cxpWBIyrFmEwpW0Di3NYLdg7FJ6
WcBDPR1ly30niS1X8jNf0VRRdDMUVIqQfl5NC7maIM6XM+eriTKCek+a+CCaRpH3Si6DRo5iebpX
wP+GGwHt7MhcBFDYMAtEL/30U/rg/sc2wyMhtjre0ZBhfM9vOBsUSRrlF7EdsOsAldPfGPjMMWE8
mewCsWvwbcsPexdJayjvJgxTFjYpx+sml/sdSrDSo00FZSOinZkj8n8CAxOOymIXfjpUlcrqPOgZ
7Hy4f55UAy0b9RribUQD6bEEpvySKPaWXvGZCdqLNjz+QToVFHn1TSFMo8Hcc0giBQEduQaOBLXF
PwQyLIVPb1IbzIeNywa2N4hgnk4whnROPYkJ+ggCeXYLjmmo9C29t49HYXFckDFZ1VF8M9aSgHJv
4eJR4QMjISBwnwwJeL4w7jdSsTOjLNp4/CF6IqG/Cp8dfJUs122a0SYY0VLJddA6ofHpY00WzZFT
0VBUZdTPTldslMN+JH0HZAFoJLuvEdcpvKKW2q3zdWY6BGYFNXuZS46dcDoQHSUtyKmfOvOAMmmU
qbULYHFDcfhjVPxnKYpeFhbxpD+r2agkLMOYU+Rkusk1wTOadlED/qMcYf3vYFiX0+tntxxivJg1
AlHXF2uVVdyIgHVTPyBjFqLkyRZa5b6cxtG7PMqZiZkWcVGTudwM3nmnqzeg3xrUScVT3K5oGaah
eYOZTLO3zC50yzHYMuc5Px5PAIxMye/Wqvi9KnemSV0HCILU0P/DTpTuqh/AtInluHjsxlr8vjzF
MxuEKWJjxi2D5v+Hpzf6+LBWWMgpzCOYuwXdhaKdP7/f0eShMKaLJeraK/ltuzHguEM6cLpU9h+s
EcJTEyfThnvlx7yAUpTOVWJyV0KJX51d3wiRm1rkMwXWdiC1UWWBNTN8A7JvH+zBgoObBCMtvKbN
DpeX8cyXI91CL1DHq1ChlnK6U/pIjqoKwxKnMLTgBQqQ/gI1T2v2aYFsh2MkQIr2l4f8eK1gTMFS
Lp0cbs/1pR0Oam4PuGg7vsjngw4q62cq0ZG8kVSe5w8+DF7FKaqQeu7lgc9sGQtZT4sDaHH+1lqz
+F6SwKI36PSoVd3FupY5TVkOn85jmZ6N7qUK4QrJ79X9VZQjXH4L4JedWvkBXqOPyJuUmxyFNM30
jQ16butwNVMNXFYU0Nzp9+sElljgVHmXWmN0QNsLbF0aSajS+2Z8ix7hdKtTtDsIkuunzy+nyTLi
NmKxffRla73LRMyI2nVg6KD/ATM9KGg+7Qo0FTfeqOc2qKnyJiaH1HmqrnJmNJ9KgeI8yGQjMZ0G
wMJPMaLqCf62OsITaY7/j1nxlEbolmcPofp0VjNyKgUUQXanVpSRB8u9NIB5IZK1sRvPToxX/pJ8
8G9r9dZHmQpYKAoNKLj4cAhwBqZh0hT2mB6TTJebrzPMn61K2JlBF5MU3j0sJlf46mKYVWDK5QzP
ZsKxjR4VFK4JHHyBrk2QZd7lpfyYybE5eKHqvFO5FcQqtmRDAssWWR0oUS3kIjeaxyp9gftlViMM
8WlQt151/3xRTuvBi2UKLyuLdSV7WH29MbPDwKA14dgcu2wX9a18O4woiNlRmx99i9aRElXNIQQZ
iQegRHvKCSaThmCGRt7G1j0Tb2yETwjpwiC2r9PLcACZiTtUAbamDnYY6QLhC1CKv7zK5+f8bpjl
M7w7h7HRpr3s437jz/NoOHW3iGthFanpbibs9l7PQulKHuivWSmKtWVKKxrhcgtXnlje8Kk6t7/4
4v8zViAyrE5rgZicb2pMOQA77mqgVf+KukqAhMnBdd/wRrs8+XNLTPGbu4SbczF1O527Zsx4UyDL
6Ji6qNBdg0FkTtmwMatzG9nESFxBHF/wLZdZv1thkMFaOna8E5DQq179OKCPWKnBG8bbW6nA2Qnx
5loUysH2yqsFRB0ZgIBCwlFjIu75NYhAGjXhRsJxdhRIJQQeah/E79MJwWvySxXbVGyCg8jaI1Ok
dR4vLRjQl7/PuZXDvoerlcI7xYdVGl+T3FuQWhlIauW9BDLdM4vefCxhDH/7/wyF8LO9JNZ4gJ/O
KWvGprUlPlI5tuW95bchHU4LGC9ooiH+/v8YDLcrSnCk2Mr6FY6cTYg6NAlvTwNm33UtxpcgxL2+
TbP95aHOfStSNC5A5Ji54VfzAsOkGU1G6UYIPXtEysK6M6ze2ohVy9+yDpyIJJtLeYgbYq3FnKe9
MUUz+y5vwE06HVjRK4Lj8BxSodqXHWyfy9M6tzMo9gFRBK1ED2t1/YkW0nhm0DpDTyt34xl6XB1j
EkZeH258rI9zo1qisSm4+KhkrOc2aIqdNmCqFzZ1fQj96rGw6mugcsZRrqN+Y2JnRrPQXcY+Ac+X
BW52ug+HTki4jdNe1wfJuA4yW3rC2gnqjtLND0j0+Rv55sf9QWVdwTiHPEKF6bo6y5FsANiXCkjt
9NhfS2WeqLmpw9fLn+vsKLgccowpZdDzPJ2VJPXGOKPOBKINBVatD+o7IJxbnkpn1m7JhWi08Dig
6Lz893eBlnI97CgLXH3eT/2DovgLZALW77WWDcYPtfLT/z49LbYgRSYVtXo6PKtpCSOtoyDkSYDC
GMl6pv6JcvOTHtUUFngPaIQlAjqXxzqlVCXEJvK553lXCFR0G7RjqC5ruQsUA4KazDfbOM0fvxZx
Xcd+kzclKea6IVj1JQyc3gbPl1bdjTnH/q3cDWL4dHSHUiGbOJebRHfVWkV3KwPvAwAkQRmjLXZZ
kv2dF6hZbcRbNlgfJmQIhRe4KfNEVnEvXx0qlH5rqZMhIirVFL1mhVTukjb8dH2eUXiakk4sZglM
6HT7AQQF7W0iN1xDw62cJLeQwhmmIRG3fVcC24sbGxAdPHkOP0qX1Waf7Nw8l7DBi5wIQsfx9Bek
vHQWwi/opToFKxPVIrzRIj377P3PdbJ4bHExczMTGk+HkZGH77SljActzPJsMfzNARkfL5+tJdc+
uVKoeC52IUsv3F7+OR2kjvKmbhvjZwdHuCykRyM6ZrK5LxTVwfGGBAfSF34NG3vyQ3VhGRWyEWVd
bREMWn1DsISo9Y7Gz7G7tkPrJut3auG7qRF78/xyeYLroagdy3QfMMmh4goDehU8InQlZqChsIKN
MbhD7cR3uyHrv0jore9kA54alb1wd3nQ9Q75Nyg9fnqaKinGurQXozqkD8UYOuh3JI/wA9LdbE2W
d3mU9e38v1Escl4hFmO91XmjCR0gB8zUQmhOA6ASaSnFoqLkwivfAkycGWwxC4GHRscbi4xV1K+L
ApsyfUEjhj5jDaX1lQuNG3Ns/U9ufOZ1MtRq4+uG75tzxVBwEwdIDJl/QFzlsynbMgqVH7wxqKsR
SVZxseuUEOQ96owEGf0w0DWm2Tab+8vf6ONOoDsLC4I4RbWJ+sjp+YJxMMe6ATnRj8qSV2wTorCY
fjby0vk5GWV1inmQoAkw8nhEENR30M16lRPl9fJMPm4AyhFIs2LOsXSbzNVXGVOpVYMZKTVMi4w/
yoieQwpBd9GVMLeskv5t3fdhiQSDwSgR0C2hv7R2qBvQSNCmni4WXXRUZMgZJcjaZnNTS1l1B/i2
2LdG1x0Rf1XdMYrVK1Ry043Y+OHb8UbG80QBvWUtHM7VjLMKhfUsNF/sCAZAhcyiOxrJVjZ1dhAQ
HqwpHRtDXg+C7AsywsFrMlWZvROV0K9zvOrsw6e+3oKI0XgI0UJhIPxPVrGiS9PRDo1xcDDDC0Eu
l9Z3dFOgkGpxuPHGW83of0OR5WLVSg8bO8PTLS98M0pyklvHyCB/N0zQ61JJ+VyQ+DcKrZ9/k8EC
c41EmIsCGak8hGkTqiiwwYi+EfK81bBbw/f+NwzdhcV8j+eqvlo3dHN6+mcSMPper4/xWE03qMh1
d3oX6IeQBzPMrlGHiAl/a0gwUYEo3QVXOrotLp9066CvDuG/n2PQCliOIAnxh3qklatI6CEVUUxj
6jRakn4ZkTPYR3DbNgy5/+HC3p3Bf2MBk1PZODTvyY1Pv6OmZUg/T3zHMK6fOsg9SGeJw+wnRySL
j3pR/+yi4WenYJ+j+d9yvXsZ6UBPZH1Vm1yhS79Vp1hi5eoHcZFbXOj24pW7RgtBsYCVayGRLyu1
Lf5m6L8m13lDl/MB7cw82SfRnKlf0YSLfs8RatQbaKUzi7/Y2MpAlQBMIL53uiB+Pasd8p+9AzQM
DV+jKDzww6VXhXHqXT6uZ87QyVDLT3n3xqqUSQ2nZduFrSFdJWyIG5LR7vMnlVFszihItuUuPB2l
htbq5ylnqJuDcK/ao7QvVbSm/h9z4Vml0AKkCWGs9pGNy0KK9Br7qIjjn7Cimzupl4yvl0c5tzmA
enAkqI/Qu11FHQAXQdlnsKqTSIkPWLaGJowQJdgFWtDeyCWqDmpXlteij/vvnx+aOwpUGViPjwcF
anWuDBnUQkFx7nZU9OENXwTpCqq3/pChKod0mmE8EPu3sIEftwnAed5bwJVIpgkJpx9QGmjtSHWM
foelVbdxkhfH0G62ui0fl9aiA8inky2ZB966Xh/KVW/IZTY50PK+yob+1mvWkz8b1z0KLmi2tkdT
qz8HayH4UJFUUQugzKoC0V1di/CPBp7d+QTzFLGCF7tEGPxYKiIyXCRmyxDNxiagCYNEZ/x8+XMu
O+U0zFgK9xZ4BtovQGpWQwOegUyWMLRlAMgWox/vijKsdngdQXZo663Kw/L3fRxPoxUCJhnw6mrn
Tsrsa4GKHk4zIHegjln8Iw0Cfw/OOobcaJZHtIi3/P8+xrKlHQhECVgpO2ddLQ/xGoQYjb4igkaS
m8iF5CVaY+9L9LU2YtnZoXizQwJFy5Ab+3STItQ249eIyAzKgYPKBSIn8s63ozzbK/GsGJ/L2nCZ
sbirAVSwZZde/erGlka405YOA0Mf0e6QavStygTjtE9ukgWpzhBET1CKvCxPJ2X7AM5mNKgQysus
ZjcNYZx7qRHqf+CGWWihlfGWz/CHdVwNuV7HFAKghaOBC9Wz9BQt+RubSutlVdpvTO5DWPkHwwfi
QHZF39pY3QvhPIUykkhoiU5Vd4VWSebCDco39sXHUahr0IWn0cmVinb76RKiKtrHZgVL2U4afVeF
/YxikzEfLn+o9ekid+FUca7Y5aqFEunpKDCzFDyfQLp0vi9/He0e06Sgu5qE2TsYEI1f+2KrPfRh
SFaMh8sC215Q2+s3X6qYYhQNRIqoqRVvRL9cd+2ilR4UlJXubatd9Oqmdnd5osvnfx9GKIqppGkL
7JBBAVueTjQdh66XE4yg2n3kdO6wKw7iVvW2ShvrTiZB43Sc1Z1DttgZVco4pffzOffw3nD+XD+8
XZ7Mv/fIpdmI09mMRhPC/GMU9QCgwMHLY6fcIfPi4X/i6jtab86X2rlGPt+Zflwee/34/DDDZeO+
S754PqdavVhqSUfNHVxA8M5v89a8/uy9ul7J5cC/G2dMc/QgcsbRHv1DBa3+GUDztb+xL9a393qU
1fUCHT9OpWU28x5vEBfhQDd3y42z/OGdtB5lORPv5iKiWtHi5XvdVrtfifv0Vz+8PX/bcs78Z+57
aVuswi5A5nRSIoapdsBOXfQHnGfENu9n1/yOfufVxk5Y9vKl4VYh18axkvDBcIP7C9FX53fuXP/n
fttIOJQzAeP90V0/zrMmb0ykQJdZoYDlUixy8QxyLc/w3g6vjfcdraCtD7YRLtYEqNYSpR0uY/Ye
DzsOWLT7MTu/v9+FzkPjvfEmcBDb3LhYtr7fGlwvEOlQ0+X7Te6veS8fcMTaNfvwLrrynfTQORvf
b7nrL3w/dRVFEg0OJfTCZZKhm/FHc1D8dBFn21jO9d282v5ryI4mYUUU0rl0FkS70/tQIYq6u+4T
c2tOW3tlFTQsM26sfDlolv7S+ccIreRSxewsT5Ai2Wo4/6uzXVrAVfCILUnVERz73wKm9/g0eOYe
Dzj3e+RF3n+Q7gnEsvPf1iz/5Z+XBl7FkyHI8BKoGFh8U6+b5+Kuuha//AfKjchul2/TU34d3YsH
/Wljx2wt7yrABO0YGcWyYwR7BuUF9md/JMtzfcd0y12+CzzLtdwtyPaHYst6A60izaTmSdosB4MG
5D46Kt5T5s7OX98pWd5irzqb9/i5AEBDEBD/wpYDx30asZvEynJ52bKYEO8UzofwbDIHzbW/ZC4W
fo/NA4rWh/qg3dhXG6t8Lq6+H3u1yujJTCkNEnIVb9gZz+k+3A/7yUv2zZV63KqZnfuk9BNoWgCq
oym+ehDECFXHU102To36u6zAvkWeSpv+dnntxfPj5amtAwFpP3VPih1CAPIHtHC6qkYbqX6YarMr
iVbs0UdCVVmpIzzWpnkj5mir4MZQIDtp9MNBskx0sU6HSi3VGNUe5ywflvqXws5z8MAi3Yih69Vb
RtHoYPEaWNiy67qKhks1fpDIHbWwcu8RnTSv6z5tXHlSs/u4zLLvUJmUh0+vIhUcnlUk7TRBjWX/
vMsmCoQS6qbEqxHDyXKHLisxVWuzR+Tq0629uISw95GGCfKGo3ADEF+HfrU6B7jx1LNtSpNr5n1u
u2hfNN8Rf0NDqdYLkTylSt8i+JqZ5eBQ2W4kB23E7CGNJ/9Zb/O2QECg7/urKjPUR9AkFR5DdVRa
Tinjm3R5XT4k3/Rc6Y0ZCqUmcGH0rk4XRsNEI29NExNLpe/xHJHSYCIaolkbemODzysy0Ho/xnsc
Tvu3ms7j76CxA8tT6A7O+7gUxhbDfZ1fLj9JsD9obyH1io/R6U+SEGmKcIkfXSwWEoSGhepgRpG9
UvhHjGAoe+t6KlWu3agfN1Lbj4dN8NGAp1EPpkIvVrcTSq7SMMEOcevW+lkB3vjeIj50j+LmFkr0
zEgLk8agDU9VASzP6SSDZrG8s9UZOb3YAEoB18krphi1UPpUfy9/5I/nmhImNS9kA+BqyOuWfGDK
Y1YgZeWaSOHs2nrE4KkKNtonHx45fDZYlQJIJg1kroBlxu+OWEBzQsRz17u+FPrOiKOoE2eBcNhQ
2XXUzcXOTP10p8qxdks3P/2rZ5OyEcE+Hj1+A7ibha0EzGxdaZvmfgiKitNloeVs7ILCl75piQwm
0G7RwrlCvhgpl0+v7hLHIPgA9VGo1J/OO9PDTBSpD9G+KVDAmbRkn2WmOH5+FMDNS7MAzAFM2dNR
gqGnNzXFPTIv+HmihITKMGban14/TRb/x955NceRZun5r0zMffamN4qdiVC68lUoFEiAuMkASSC9
9/nr9SSmNc1Ga5vaXa1upJ7uIcByWfn5c97zPnwRicgaucr3Nv6hDdNZSY0OYYgTj1VxytRWcmMB
95kR91A376fA//d+q1WzgaKSDAg9R/3QZ+RZbDNYtPjDL3G4T0ph2QUwWX5ySPjjhGLKGjWbfClS
bn8QHVL1S0pvNlsHPmzhiiL+Nxkm7VvR1ATPzLURZ9ipHXaB0P4qyfqXb9N/C1/Lu39M++3f/5Xf
v5WYPa2ysQ+//v0Uf2to+7fuX9eX/fNpv3/R3y/Da9P1zetfTi9V+xe/L76/dHFZfHzN796CT/r1
StyX7uV3v3hFF3fztX9t5vvXts+694/jmtdn/u8++JfX93d5mKvXv/315XvO3Ynbrom/dX/99aHd
97/9FcuCtez9X378hF8fPr/kvPK+bF7inIDNP97uh9e8vrTd3/4qaOYvJqFBZijCaqiT1nE7vr4/
pKu/mAxm7OTYB7Fu00OKsumiv/1V+0XWLcRupsnEQxpB50WMsPUhQfqF6or1HdEFo7zT0QP9z6v7
XZv91oZ/Kfr8rozhlv3tr6Qk1o7425qukUlhmib7rFARhs7z/fEfBkY4JVVL9rl0AJ9qWNd1svqp
S2s09Q30TLDFAc5gLYLPF+yJjDed8D4Yn+GVxdvXS5DJXan0iPTDwNEGotcOPLTaLdjbzY5ai9Ih
bUTTJp0ELbCc5OYkd1KmOMmEmUvOAfcKRjW4Tr06CDYead1h1sL62kft6C9jFKPCm9VXIKfTtKp2
4p1U9Di+1cIj5ofxYQzH/Ka2uUQwoG3LlyzEtNvuG706BWmCth2br3OsacWNjULiRBj4B3ZXhSK2
g1ohOBg8zAaoqREOvVAZw14Ro3k/YWX5RcnF9IQtXHKh+C+8SB04a3wVJ4Co+ZRHoDfrNj7lqJYO
eZ+PidvLPYjrJmkf4y7Rj0IXoEQXCpXMZDgG38JRKR/qJWsUe5p67ADlZpo2FsNuN6MwrGxLWnRf
7Ky3KGEqx3JZ3WVhy/NCmAt4PcXLBTJI6yvCjOO+MqciVuOkfD5DsdV5fIg3ZlvHfmZB0gJ7m3mx
ZubbsYiBEZRpBrUEYhcm14NqOaGRGuQUwCwUQpU+53qEA5MWS1urFr4YOJZBcy2qXa5U8nFRutCy
sdNXduimhS+zrMEUwsB+Y+G1ji3+kHjwxOZvo6lFn3VxzNb3e8RN7zVP9OBipJFQObqQCjfo9u03
ytXwKo3xIjOscNxZgszykoAal/BU0sJDVaQj/mJZ6ZP6gH62BP6ioKahGLPfNFWu7Mc4rryqaFRP
NFvqXTUxUN2hKcxHLIZ7N8eOG0RmEj0ocQfpPGwXvxUzItsWJuxfFvbTjigH4rGROm3TFZG1DxmI
3kSp4H2QTBB8VDXD29sKC4zcFXzw7DRLx41mZBw4MVLdADS+lEIeX0FX4f4JIOQTlPduw744/wrb
VPOnwNKvGR7aA4BT3K5zIh3f2gqnxUHHLS6zmsyvSzM8hrWwgpoka1dUnbhV0pm6RTVxJMruRhuX
xxEWXJ2BTgHvXKhjesKpSnWqtNK3pRRpX0hED1/jLMHbDBjJhVD6avxQ46OhZQxeHHPTOyDmBSDM
whQOAgRxN1i6aJN3U/NZiar2nvqsBvLJlApADShlOkHewtQoRPr9lghjVcr3i95SJT8YETTJe7ZL
KAmEcTUyzOf6ls6ddQzbanoYo4C69rRXGJzVEj3i6zq+il2nfsqaObwUKf5EKozuL6xW6ifWbFwQ
q7DbiYJlntk8Ko5YlCneeYWYQUfG+BBv5UUBEabhfThg2CE2HHTMXm6exLSvPJXQ42NLsP88Gopw
CBtxfJ0qobgWuOZtQLBSQSEp00GcpdBFBoiHg8B8si1VdfKsbDZf+raMzqhwer8U5vr6TrYeIMbW
cNXm6NqWVeWxK/suqhis2qUaTQ/UWUbXNNIoRib1uv8H8JpXj68loOFHdegLzn7ddBamInspWZ3t
tu4nGzBt6/bNKH5W23J6wDl2hk7S4S9WBeUmjYPk21yq2JCm6ixdcfkc7+pWCU5IM/HpnBaDUig4
QKFL+WJ2q/VEx9xy0hAMLEtyiwZV2gy1JX4pOKvdibVoPGZkfe7pV8In3EgnFyuj7mvWmKEPaQx3
OYqQHpveKK6ZyQ4JaJFU7IxmJNmJNyVWygDfbHBRmm/CHDpWkGxAHaFiR3eFejh+nCttr7FH2BYo
PG2wmPoOx7z6MZ6W1Mt0PXSHWMFaM1CSZmsMU9jQskmPxzWVXF1mzs8EIzo87Ipdi7PPpu+TAahH
sxi79h3dLRbgwHZDtdz1Zgq/kGrz0mmNJthZk9R8koWmcntVmA+1nkMAygJ8pzF1LcFHVvjmcf58
QGIqfe7igEL4RJ6XI9r4NQq4CCfAmxLK1mbwVYzxYI4mmtOo08hS1lieMIDtyynU8klSDQe1MoEg
qen4lNVYXJfUavnJHC7HuLO68zDxYNzmsV+Kg/KQh4LkWFnVXbFkkDe0X+3A56nOiZIV51GNMJ1t
4mCfqTGm4jHwY4ARYeJh+Nid+3Gpj1nS3Hgu02tVHnQzq4jGQNnz6rVJ0hV4pUSJ/J36x2i/GL3w
jE0ddG0cr2NaqNQOiypkOA105lGJpNCGgZvaVpldhlHP3pK+i52qbsqHcg7ExyVgfg2G5DKH7U6T
8jyxc/Ytd/Bm0xcF+10X9bXotVJp7DLox1scLayt1A0T9FxTPywCbp59HKr2OwVdkirtLgNKfpLw
5vOqWo42PW7xm8VQj9g0EkHDN9Wp1PYF7FeIaxIOMSJEHYABC84IgtBtY0OQ8T2spENDuM8xzNQ6
BUKc7AYRv3Ww1Dm9Yg6/4m+fnrFAIx44auUOn5bGVxog3e+U9ZT7870a1ORkDlL4ULVzeWYrEOwG
RbwKOPaCQgcoK+AamiuJuMEOhAEwKPomjlXZVYyldEE2NoxFVrmokDj3/QpqB179XcvZNK2rCpgV
hTgs67le+uFMmNkE++zPwFBEp63x7yJ21HuGNI07dlvYUJt4L5pRlzlyjR5mqCbEyEtWGdtsmeKr
Mgz1QSC+AbxKQtgOPPpgFi1n96STt7HcBrc41i2nE63Sxfwb61RJHnwZlgcUaCM+YyaWHiiA+5KZ
Yf0lEhtp25r96BVjpV3xGZxducYueqz6+QgYMN82IKI8vt+yt7RahPOUTfsmSFXGuiIOeMYXInhk
pRwx3V0GC+edYnwaYSOdY+ZzXy2XeR9KWrqDT9A/Dq0g3klzqF+oNhi/CkuOozCmFffhoA/eWGMe
PuiLO4dFTi13H25MXB1OSjp+rjD/c7R0Uqmfz/ASTS212jV9pvrSnENN6xANZY5iwbNapFh56Jt6
SmwYrtWhjNTa6XSQoPj572cYRk5EvuEuM+ROP6pSomx1uRl2mDd3BzT1Wl4XezYu8GUhn8qODIZP
cQZBY77CAe6gBqCf40qOyIIsRb3Rw4aQOqHM/IpOi0VJAF6Gyjcwm2MhI2MCrhN6Arulb3hLA5qw
giqBIN3hUcjULO+UhKIj28ggSmJKXUfHymqMlymm0o6CTJyA9dz8qrWWupEi83lu53G7dOVyXYa0
wro3js+S3n0V9V7ZKlbPDnrS+096HRa+2MjTm9gJzACqVvU212fZDYGePTii/HOYqtPjWOXtpynS
a6yi23B44XvIHssqwGRKnqcHPEBbf5Ly+qVf1PIQS8AHnMjI01e8YBWKzGA+2AJ2/Y8xpmOUWYjF
YydLAZIOkyUrMyAwYJtq4IUNSjVMtGGTp6N+GsxaXbf986aKhgIyeBUCcEsL2WvYQuBFMcpi5YCm
yHpYXrX0WYUtuJOWQfGroCsOiDuz4wAL7aBDxDrrixq8WCDnr+B7o++ZIMs7cjujawQQMGytrqCw
5b18tCBUj3AgA8A2MZuufS7KEEhww08xzMfrXuuL/mwuoohfr1x8K6KucY1KrL1aVNu7PGhUH/yz
BaqglqzjNIQlwnfMfo+pXPW4UZvjp6nOo+2ClfI3PRcSXwM89W3ocmhsKf73WCYOgAmlfna7qOt2
WIljSNszprSkj9/mQJAfMP14skCzC1WhnK3xgdrn+TZaMe6kU+JZcnOg5ywHfhB3HB5igq2LLnsh
JTtuKurADCyu7tuQtsrXcVR7A1vfqnyei4bZrBGwYQ60/tyEi3KXLhne4UMqbLUoyG9ygq0mHt7j
OZ5N/YoPYbrT6xa7+kJNWQnKxzozT2xw/CRLsOnu68W69LIcHJekzbeKoCsbRkcBVQWWQURkcS8n
Zf81g4a2mTqxfcQmMvRTK5f9eGYVsUMNnHAgzPkuI+w0u1OMolKaZs4DxaTBEg36+apGs7LB25MY
cp82fiWE4NKWeb7NRjZhl87IuxO6sX0rgdoclLhPtkMbjI+RpnhinHxe4WxRmnl6nzldJO7Xtbav
2k+zFdwFZnFXcl70lGC6D/p8cTU5v58LBaCjdZRn45aVsauZwT2mE6+6Idxk6GKJEZyzVNCdtJ5R
LZdE3FliR93XoDcxU9b66zTOPZ+uaJecKN1it5pQ7aop6w95QvIEBgHCFqvXzzUGnQDqlOBBiKR2
9b4uL9GQp/tKy4Higoq5i6fE3AxjsHo8t4IvpdAUTI4Tn1IdqV1nkvaexmkfBqJ5Dhp52fXGfEzg
zPWOkCvtGcckbR+I1niAOejhAFftYvwe2QpK4RsF+xojUtbYUSvRZwBOmS3iqVwtqxXwzDLNYq+z
XJzZ9ybXKCd4Eo1Hsem1cxenHemFupVFVzVa7YFtiym6XVHfj2Jq7VVsij0ABuE9/D7TmVtgdk4T
KOoBWxH5KuV6vYnMZRLdoZ0HJinK6z/FyahUoISy6bMRxHDXFRL8X7gF4WOpz+KdIqap4kZ1PEQe
Bh2tOwAl3ggzFs2asoQ31ZgMxH+NmmzEdYsX5K3a2K04+ASH82sWyW9JstZl6YUaXa1Y01+KjCxJ
mU/tARm85MeRUV2XKWkN39QWzL7DLGOnqc3W56WOcneEsAqrpSnqc7Mki9MqYvnZ6vJOdxIkgW9F
jUuxLbPi+vUoKhvURdkdKr7lcz4qbLN0hJkeux71EA61cKSsVXb7dgy3sQX4DSk89Tt9LERu1BoA
apcY0QlH/i1o+wZhmZEUfh8I0jGGOn2dtFQ4immQen0xSxvqfubcNXFLYxELZ2z0WWPSo9HqqhcM
CylDXK9FB/yiuTdSyTgmgSlxpG2KYwQDa3bEQAp3M86jD0AuILBGYaI7i65019bKGQvBEoSbqSlY
bCpTMDzCCeNFVEbdq5ooBjyUkv4hBMBnjAULrBYNIKGkIPTGMWhxSbaaEmxmmVQuMkr6/6hj7Gpm
eEQBUzQBkWYTyCyCSpjKSI1vESfAVXPQQydMejyCcpR1djVoy2s3MtSbWs7uolbvuHKN1X9qymOi
wKBQG1F4kDGr3xRx3H7VwwBiIvArXlvOn9lZmXtQP8EB3li4G6ZyuTWQ+3Zzr2KfkdWa3RCDO+n9
En0dK4zBbISROQmasCYcULZApNHPUtyQw+wUS+DZBJqaegvZ3LyRViQN3lbjLZayfBMZlnLrc9ny
ctWE/mx2aX7ghF/sahg8mxLScmJzUC5cJRoSnwNCu8vj+a0Wl5SpruVkpRUO51povphCPRRGMrhy
ICePkNbEO4gd4ttoNPK+SYzcg+0gEJ+owglDywYZNV7kntLl1QkXb3lnRXn+FkSdda2CkQlHNaUn
IYgCVE4AZRzg9jLm90Jpvc1dXJRen5dwEIUF+1uktQLjRO7vFqLPF1mATG6TYWqOCwSKOwCx00XX
4TntckHvvgiZKu6KbmFwVZypdnmdGvdJIOn3YT1Nt6Kp+62WaNKJAdEcGlPPjgSwV9JNTeKe7ZoT
jdLwGJKpZQcnLsc2yrvvYjlEz4Vaz4fSnAo/GSuRkxngKqPspR14lelsjkNJ5ifP7pq+yr9WUZ/v
yymGDJ5DpRDyIdjh8k6QChrUPlcVZQe0JN9mcxbe43RogMvpI2M7ylN/ykw2lLYKj+NVrsbab5vB
QHY2rNA/pVskYGY1kZaFDmk5OsAqX8aq7khBe/Es6EV+E7O2eUhlrb0PstLy5FiRtkY3JydtUpXT
JBjDjQKk8WluRfkqRtSGqRhmXQWzUQ69nFZEispJoNpesZ7ga4GgEWdH76G3zGZo7vo8yU6UlPdb
RR/EfRanKnesHEi3icF9EAccqxUhAgEc48zfwIWAezl2HcdNIFalAEMEyhcXMpXDxgjkEiN9SxS+
aXjpHIXVpRSwVvEpjup6s8hUSUpBI31v+3C4L4CIbTFEljawEjj4BXpylBnTMNPg79QOXN6WDdOS
gWJO1TtinYZrzjBrxKJq/D4xNlpN9KP7FAeCddPHWr/XtTF44GAq+vNUxjCC0f1nBLS9Xo7rG8wP
ABDhMGL0HuR+gcHnWQ/7t4Ro063GWxRII8zKU7YKYpchkp6azpBZ/3KsYoq08yZTxDVaxgJf73Ax
pwpoSZ0AIQDQQ8PwE9iZ8N2DJj8oCYe/aEqTpyDAPUxhSt+B5RGpzIJEZ02mQYRqvM1dKDodZg+8
yzQVdqb0+aHkQHwXjBQ09DELYL7GB/tSkS+tHkqfTaUdLtGoZE94x39SZzOTt1h7mBcihbGypXx0
1mwO0c0uDJsYsqRGwE+CIZ368PUIdbEnYn9EyQbeSuhQ5OLIpnnaCirbU02QGmOrZOkMg8Ss+qdW
FUOADNiFDcwrCOT9qpaUuwDXYHrRhLp9w26VXTK5B0KBYi5/Mcww0H0I37OEOUFPFZNaUr9lEa4S
6dremHel/tSnAUgMJR8huw0rRNltI4lX0M+I1hUrQjCRiMmRAokPrLTTg9nB3nXJMMPDaMQmuhoS
QbNCH3iHMGwn+WR2KuQ4cNTlsG2XIlY4EDSR4jYwJ8kZT9NXbPAJLODUWZ/ZMggHVW3ixWFbS7Sv
WZl0hckCAGq3n76ShDXPTaDzcebY1Tcl4thNTDNazC35s5jmb2Jwh3rcg6JnLWU/msUilrHLtGyV
cSEQEGqTQsRqKPbhSjFiTI2vAA8Le91aMN+bMWbuZT8W+yHQOcCnEqAYe0T97gi9ZJ7eQ5kDmwB3
bAOTkK1kba1UtlAOsiPyOMcVLjC36JGhxFcETbHHpXPyjLyP79mCED+Ru9FVhhbOYdpbd2FkBHvm
3f6+BYnpCdrkzLVZnQ2jlLxSE7KHAhLOKeyVC45pVzT4tbNy2CLOnkQ3xJJSPCTI7M2KKD0mnRIe
W1EtDnogPOetxUlRkDh+2uHK76FEBnAS1kZfGyQckDN14aq1COdjXX8yo2Oh6p9M6j1sNsnFaww1
byPISe/1FBltixkZd2AO2mNL4RmCyMDIfRT3gW9URciJvpKcyQxuvcIBPVRYMIHokY3ARHhrNmyg
ptnIn4d2yI55PRiu3Czo3UcrvIhwsP05zFPOMzJEpcay3DgMxn2VDPjSYfOiuhqbvr2RzcmL0RCK
btiovUhaMz0BS44/L1Pe7QphiB5Lwl2B188oMOw+KaPCmXSK3sloRfLIborYWqdU5Tmkz50woY+v
gW7lJ6af9Gz1rPv2Emhx5NddFdwErA3vmrBtN3miAJUuxJL1oSsZONMcfm9MfJGcAbj2PTDUY8hG
T78sFURFj+hZyZmnbbTpH95Ov2ZDf5fj+2fC9f+1vCwhazLh/3Za9r9nL2H50v6Ylv3HS37Nyira
LxIFRGt9Nn7jWMxQAPBrVlYxf5EVsrV8ApawOt5r/0zLCuRySeFiQ4qtBgYhaHh+yMuKv6j4Jqym
WhLFX4gF/1152fdai9/SsmR2KZd513vg56vhSfJBe9GEArT0MCRiLY3qJigFY7x1UglUnoCu/DSp
C8flbjAnljtzSSWbwCV1tcrcy8GG+UyHXDwTLwRa0TDf2QbeH6JtlnL3OqdtdtOZsTMSBmb8DLxc
FHwBH/Yb6aPpPoRom8HCSgDi5FWVHqDq4VeoZGVUAvyJVcNjq5xx3AI4BiFTD8sHJe/U+37uDXBo
kCFRINQD2QErlyrDLyJRHH1Q5xR3yKrA5EjAcIkBxxq9gwiKD0sN6/M8IBLyQh2U9AP2dvm9kQSw
cEchCQ/dAAOBqSobrtQYETRldWBvCwKlKc5MLQSeiZUab3VUT4KrSVZ+xMSOUEbKsP5SgbdJt2I1
B1Cr05Iggty02EAUFNSfhmUaX1lGo5Bd71wXntwkZeOzhbFuEV4lK0cYQ3PMbmLyqhBSCJ9Vva7G
blEN6eNUtWa2XXp1lP0xGJEWV3ma2YYYkdRMKTHEamWQyYVbY/YFulXHeRNKPTUaIRs7W+kLpXCj
CsycSxglJY9ghs+IipTBTcdJZf+dltGxF2LCUNDSyE3W8IRuWqfmsVdoLG922Q0D+lO5qt96c0pH
5HkqFfhjXkahD2oqbD8tkopqaNTF5NRwUk5sokx978K7JwoDYiL7CmY7+1LKYXULsYF4ySHVm/aA
fdulprQLN5xyvYJIKitlG3BuPdfU3QruxDuongEwzzr1FDZIgG418U2hjuwtsiZS1GbdJOTi2l7z
a+LUjQOZNE1PoyS2mg+hkHftszbt4QMD1LZngvpsYAAs7nMjiXKPDZGROBWZyxs+qzEKNm0cn0xr
XOYdsdEavrkZkjBHpiWnNi4LbE1zHbN724jMYtlP4zLU24wimQX/fVV4zAypb5wW953aiTHiAbM1
NvF1Ie3lLSEca7vQa+k7Zy4dKZ5llPJBbqSJaC6oDixkce176HDVgR8VNxhrwlZVvylKzU6aQn+W
Q5HRADqaeFS2RVDcsX8MBBIclVDWvZP1Qio5I5kiAFxa31rbWGpybUMY16SopdbSx45qysIJYrMC
cKkJULR+mA1/XSJ+lH38XvOxTi6/96f4IAb8r/WnWDVMPwhM/lP+FP9/VfxBeYTmcq39/beXxbvX
pnjJv/bfyh9Xxl9f9uvSKFu/UOWqSqiS6CUU2vKOvy6NqvTLWuO7KqixQEK09NvSKP6CtazCAkhV
EUZF/Pjbymj9gnJQfxdpAi9Bq6z/e1bGd7HlbwsjCmRK6nAAQcJHHZCOAd7vu9MSNnBwI+l68J8v
oWfvNvbOv/g72/dP/j3/7OwNP9me54W2s9/u37aVM9pv7na7pQbjevtJ8fWH6os/Xg/368furYoD
pyGux31yH/yN7Tne9ifSxXd3sz/7yh9GUFoKE8cXPuK0PdlPvusPtr2zv2x8+972bZvPdLeO6x4c
9+BfHds7uD+5gveanD+7gg/6+TxpOFcm0vXkX553/oPP/XVenO3euf3kkxC3cb/+5KM+1iS3cgXT
lS97ooUPfLu1Xdf/8efl2T9t3cvJ3p2eT/7z6VLbrn86PT9zRfZxs7Pvd/eb3Waz8Tabo332ts7e
OWzpCV+OR2fr2PbRds5brtrdcsO2rnM9OLZjb7391TkcXIfusv1hfP0vJtqf9Y6PJbVd22RyR+/w
3evT10toX2zvy5miqp/dtnel85/dtg/7xXQwjAHp7PXgnlzXPV0YEidGxXuHtP3avtBmXxkVNjfs
tD7CExkw/r3NX+14cO1H9CeGk322eYif1s68223O/Lm9cS/dvXM9cd8Ybyd/bX3Xdc6O7+88nsjv
+73jrH3QP9FHLv56QyN7S4vxGtrLd2mRA0/k7j+dLmsjXFxe8+e3/Kcd6EMhG8EMNsvcCT6S78jV
2ZuTu3u/FTZfgaviX+cnDaB8KP/6wzzw0fFkMQihj2tLP3E7T7ets94EfnAvrnPY7U50umc67o7/
XIbwbuN5tc2P/pZbenK3/rPtu0/+xvef3d3lQnMwp13uQ9t+ZIbzuYu0k7dnQDzZ987efu9Nu83u
srt/3YX26/36pl8fLs+x/bDYX0N7R3fb3d9f7vn19ZWZ0rcZBOcbg5Y/r9ubd9u+0bDb7c1+uN/t
JtsO7Q2j5vF4Pj+e91vv026//X67Ot7GuTruyfG8m2u/HNcWpJ/dGC22t98fmQT2W263y7zzPhHx
zd+YkE4uo2u7dfh6O3rMwdl6Z3rC+xM/3/jrdXze3MP16cl1b873n/SDtZjiz0bEBwV2W7f4mqwN
whTyxI2gIzhHh47qbA9cq+P8bCV4L3/5s0/8sDRxMFOSfP3Ey47u77xtd7FNg64dnRF34UsyrviV
4cL/2Xtafv3VvfgP7sPu/uQ+lTT6xn46fF3HDxd82dibh7thneEZpvd0GufmMcq8yvbOL4m9p5/t
XVe23Ssz4bNlf/LO67h27a3rsRTY+3U2+MkI+1BZ88eu/mHJC6SuTha+58l9ftitQ//2502H5fBP
2u7Dise6LwkSn3Cg41yYcNZ14LDeO77lOgHRtehI9C9GDh3twK2iezNt8Sv3g8e29MmT6+35kWf7
O27/lkdZP/iZkeAwplzWa96St1+f4pe8fvdA4zFZMPbeJ8T1E3e+88xTuATboRXWp/OLZ6/Dacvn
8lze8W5z4e0ZArwVQ3m389bZ9nR6clmvdg82N4rXsBitPZCZk4vj9bzf+mbOkR+YIk5cEUORXQ3t
+tnbr0/19jva//w+a/Gtt5uSL0/T2r63pT+v8/w6h3NtG15577zwrgw6Z39eh/Z6m7hR66vpGDkz
Ds3l8Nd/3mRrk//W9dcTxe+sIz9WNv1fsY40Psz0yX+JdaT64VP+c9aRv+/47/dR+sE68uN+4T/o
5/jH89/vXCM/Fvb8nzao/NE68sO+5D9oHUlA7A8dEFsnuAyrPRfIvY/1Nku2FlKosH9ldKChK0cQ
c6n2Xjjum2HxWYhL3FMiDK4EHz+j4dTJgwxdE2g4nhldNn82gcgRM0kpD8TxpNde8HOZJI8YN7pW
DEN0ILDkLjqvMiI9tENTqKfNROwIhRiStM6GOZzk12hS5YIAzBxIDpBdKFlI3svazSwsQLFGTvvJ
aU2TFEgvIb0hEZ5qb0s59oWXY5W/nQk0jF6jp5DX+qBGz2tlcvt5xBg22ssyQkYQ6ygFUYuN30uz
sBqHRHI028WSd4rdTSgvCJl1aOllqkaRi4htQQS9nz4rrZKXp0hYZtKX0aiBtNdHwkeKFqFcaM14
VO1OlYEdmDr5GVvXtTlyVauoG2BpmghnN15QzsbKnH8CzWsEaEQJsThUKiDLBsARI9kRmqzxZKG2
ngay6l/KxugGFzNAoiNBrKSxQ1qysjwxstQTcvNRdoj61ZLdRYqECXJqRpFLPsv6vog98bGyKkmF
F5IJX2eeoH1vIdHlIuUOS44QPsJkiuKnedB8Y40zYTIsCXZTivqbrlfSW57UmmSzOZ6tE0JeU/UI
kMaCK6wRrC6VamVLLoMQVPUe5OrXeFf2HvpS01x9KdZ4WGvI2RdjjZE1hWbOrtGYQ++CCF/DaGtE
bX4PrpGoItA2vAfdkJoQgOveg3HJpNVvxXuILumsEatWWS1ib6WC35r3gF73Htwr1jgflR+E/KL3
8F8j19FzusYEpaLMR3cpU5Uir/ewYUz/FTys7AknKmtksX8PMibv8UZTJPQY1msYUqlUC8FVhj9G
TQ4XvbtiZdt8DVxak6zFLvKLhoRaaRLbxP4BvWX8HvOkqaxbjgSo8WeTGJnX1HEcOuMaLFUV3Tzl
SUimcCb/Nttpikexk5FlTrdtlE5fkEB1kk2UIT9icjgTkdVq4019j9PSFbrirGpwlHdpOyLSgsI+
XGcsaL9l0tihhVnisYMpSQhY0NZo8PQeGSYfKHyaZhN1Abnr2m0WU7gCKS0KT1DUfp9qRV74eCFQ
fWxpHcV2NaNoJrdaJ5/LuLZMV2lnmbEoQi5ycIAPToqcA/zJ0JgQYgShjMO4AP7HjlS1NL2mMblb
Upe0V50qqh6Hs764imaMIZIuFUO0bVqjbY690mm5l2AdI7rBJCmR33QKzpNDV1kiQACjnZxFtqpb
YObWYyLG8jcJnvHitqJW39oCbue5GccUo+56LJCXyJOMsCQodK9Orb7xIfVmdwu8S9EWlSKtt8CR
5Oca4WnqYoY6ReepWIpjQ/KVcT/0Irl6AZdeq+0TxAt6rn3qxqi2cDvO+gF+i1F8anH8U9y0Vud4
WyfUFNmxWTSZW/ZxjpcPcwpYFSXNzvhqN6NbTRFqHIq14s4ZjUwGRjHVsUW2vsGRVRzrLyCa0dOt
+OTIC8N51OyxKMPUEWYz+gq3jQquSm363C2jOHjoy0y12zynJZZqoaIgkKqFvzFHPXJDBdSOvWDa
NTuMqLD1dXKI+4iGf5PRhB7QEJLhUMVlevgf7J3ZkpxImoWfiDZwwMEvByIiVymVi1Ip3WBanX3f
32aeZV5sPqJqrJShbKVprrutrbutq0oE4Pjy/985p65N+W3uBiTmVqT6C73gU0cDP9EParRpb1Rm
89h6sOGYDi7Gt0aCvhoZkh3MoE373mlygI+SOvTXJme0gjtr4z1pbMnnOCvjeO+2mXiTZy3t3s6K
SGCPRjzLqPUm1Xtv9mPCU3yHujbd/uSyT9LhY8Q8JZBNTMVj3NrTQ18MQFrz2td3sVfat1OeNkUg
ndwR+yaN4rfjOBhrCNmSusFctH57kHlMHFSzQlTQ5h7bPQ9Aka2HOUYcjo2K3tMOj3CjSDP/u5O7
xX2dSBiRvItcUDcz0tlZ0tTTeYusYDhnjmXRgvWJ3gKdCXzty24IfSjI80o7ygimga/8ItOZ+96A
t3UPPe5xhzSunfLSEyb9nxGt64dS84x47s3wVqeVbC4iaNUHvywBE2OSUehzFDKlnaxqpCloVnxz
L2rDcWGR6qsls5unLkbEw5oxVy6ze0dB300zRHFO3o1pqP0mutrErs2lMaJ3YEUzZ5o7qeFcuLZu
7J0txIpIX4Isn61qnLOwMGUV7wyfGJiDRHT+iNuuR9WPnKTobUbOzVVNq8UMkmZoox05McNnLGqd
J1pAmzirdlP8kITMPk8taH6AWgJBkclPoz1QxGfrWLl009am+2Ykaw7t0s7RtBvTcmCiyWoAr7Eu
+jVUztaBMIeB+5s6XCyCpod13TWGp78y8bjiAj+/ZV8MdYUWj7YYpFuqjC96JCOYnnFtWqEeu/zO
ca3VDjIwOhpWS+7gFVsw04QmAiD0UE45VDsAcytjqkij7ICP8HBnxIo1ejKMIsZBYJXqzLLoy+Dm
XtMrjHXW6gMd7Ry2ITGYFgzJLezWTsQPHh5ryKSqTv0wlDMP1/xR8UPqR7MIvd6Ai0tVEt+0BIbD
oKgWiKhcRNWf4T0T57u1oNMO96Iq3vmK9IXHMmIXTlXYFIE3bWqeZSxKyQffSXHeuaLr7nTZ+jdW
TyhgkOY6v56VVSFdMazxfpnTHrCqqq33EPTSOkxTWs+ksn9QFbhoYJQ2N4mpcfbVq5Gk78D54veL
Tor31bjCLju1fZvYa33GgB3PVLwYPnGKMetDttrfa7G98t5sxK1vUGoOcss25lCLKLkvuxFOalSJ
pNlXMlRq+jD5brHi6BNS2XE9yNZIL71lGfuwr8o+B/IbJkmrVFoqTO2mdwl9sdH7lGndZ3TxTL9G
ELuwU1riQruBn3ntU+tlrJlram/aFj4+K8Sg0X074IQ679eOkRew+7A/RkvdvJWDG93MS8Wo64rt
3ZuCxiXygO9V7U8PMEWlH9YA5yY5ciWx55pRf536bf7JGczs2wC/r3eGjKp3qJ0WGcgmavlCTNUt
rOlD8oe2iISDPPcDPznA///8wH85xmwX+ckP/LTe8oIfuD1YK86jbcJifTzh/qeD9FMHadO7U0b7
9x2k/yo+1//z3z93j/7+R/7uHjnqX/6W445DBfshAAmOe393j1zk7kebDpAKE8talx7C33p3519Y
5vBv9OfEWZJLyov+R+8uOM956N0dzhuCf/1J92gbdv+UKVx+GB4T7IGQruGyCqnKX/+pF2kbaA8F
HaSg10M/ncWpQgpS8tOqvSPbEWljWVoLKCF8E3q0SYx/jaJnpgk/d15PzKu2X0B2Ml0ynPo5jiIv
f/4LasOLhqx3NpkKS1pAa3qKzpesJQXSL6Kn2GU63iVOYT25aZUQ/m10ZPyxbibs9u2JbHXU1wg7
aCKXFymIRhc6pJ99+emtvtC3eF6GOP5KmvzHrBPXx1To5FeaSZm1RO3MQWOY5V1P5spDk8j07PdX
gZh59j4k/wd/ukJjCgllkbpzUqPViQZp0PDHuiNfIvCsrsQNrvPk17SHDe/EzK7FgSDmoBz59T0Q
xXzTc7B98P0ua0IkSREQflPpZW90hmwCo5VVe1Nni8KNMkOJedAz1qqQrf5kvYtIN3HeJPBp4t6p
EMHtEYotKuBvT4cLbVX2ujcJI2kuZTqa66PTpqs44OJZfYAZKu1w0Rm7aCeLycvpWtQGGh4oYwo1
2TNXZt3K28mKRxX6qdGUVzMZ3HCYSYa4wulYxw9IoYAtzTnLUe+4dt3uplaAKTp2yV+tZFdMN0uK
7jaUGrb+3Whuu3F87LwuDnqkEzGZQRgtdpedDxr4WCLTA5mVa9aHABnRuXRGJT7gntpAvIm0n3ey
zKLkfK3IM36qB6NeL3S25XnlDbLZMOlYpAMqCQknINyiqzOD43MbJhWr4UXnDIYfTlafvWHAwib7
tY83UTt5uPV1vTm1O6U78cRpsIaVxz5dB6lnw1rmPpWMnTv5OFKvBbF/aa6IkE+mZRFvtIsKad91
xSoIjdpUAbE20Axnogg9lfUQMav2/T2y8o5PM+0bdt3uNPfB3Cpz5NQ6Wt1BoKNuH0uQR3VhTKkg
EidrkjbET9+sHzWes0hp543zTPvWeZB9mzt75LGGOvfW0ZQXubH67sUUFTP1h0HWy6diLfvigdEP
/lj6vv++bm1RXXTRgubQy0p72NvCb765QIKXRWbFFFE0COqZ748YGWbKUs2bxADehmCPBwfiasZo
3SxHAyUj9avkHRZhGEt1cku1FKkFC5J55UBgsYWDV0CGwuQyelL7QRCJFe/RZ5jNzsRcwH/EKt0p
HqPJKL7psk79oHHyMQudESW9TLolCu3IMuxwmGBhri2Oksuuw1L6LrKq+CmFBPhqFo3ZXsxxzQZQ
ltN8btprbLyFxZagoEPcPPkWwDVZFGP2sStQ9uRLlX7DG6Qvzutqtm/raZK3HKrgRfFYbj9q32rn
UFidvDS18uZ7OvcLn0SXRfXZoDJlnrGvRgOClQg2ZTaCEPd87eCjoEW74rGyvPYHTLBxgbjStHYR
ByIziOveGKigOboJus6okgOBK8ZbLNZixHvuTH3O0gbfeMqCFNS9aJw92qnpPE17glIR7GUH6VOZ
OThmqc/6XhccP5esNsN6XqZkZ8ZCrSGy2mrXCkcMZxN389HO3TkPm2hZO4jVkRfI9rtO0YSugg+s
nQYEGslIXc3BBirfd3Wk8NhJ5mncJYvRocoyB05IaVp6xN62FCGmAnXkzjRc9OHWdqlwqAQMbWnh
yRC2ViWNnT0LhiAFmviOGD/xobOrcgzEorr3Turp966eox+x8NWt1fYFxYSkZSOq7N5+j9L7KZci
+ZKZLYqpJJdlgO3/QuCCQXIpbgGdRXJpFMnp3Kvn5C0+M6m3M9d4nc4iGwwr8AeQYD7ypm2wB0OM
e8Bryv2SFKuDR0s6pA9WZHvGWd6vmLTYfbmK/WBPuQub78Is9XmnkfkNFq4UmPfF1p5kJe+Rmp2a
zrykaK8SF1OKQE3aLkMWMOKOXaeOkdkvSfUVx5T+mx7QjAcGBP4lOpr1izGuyUffyBPER/aovqpx
mr4mMr+NxAQ63I0ux1wcNcR1S0jmbiWk+t2i6uZDZZpfRKMTzBlZcj6K/Gsd6elurLP4q9c23sVk
VIjRrd6+U+7af1taTuhBA3ycBPC7xqNY8vZjNvaxCu1CEfWZLAiop2LTYOqVg7CoGv1p8Na5C7Jo
6Kk1oN/5Ui5xzikr1cvnuOiu5VxO2UG30rrHhyb+0qtWs4ynyXv4SXg2PxmiGMMbUT3ViYDzxAii
wdfGpHAQd3YuPi2yQmCW5GhYz4lcisH3+yH7jtymwO8WYBIj3wyJahChuy12dawmjwlIUyhKkoqK
hoE6MbATu7zPWpRUhzZqqiddClnvcio4j+W44jo3YPAlqYd2VscI1s7NpOz6G0UmpD9zl5bfiEvS
cSjrDHc6C8d4hFp+B4yJ8ny5qeJxoPacC21ekp7n381pipHJYMzqJqNQA/Dp1VTlvZFXjSDQgyxd
Xai/NzaJnHgraS0DZY981BxYYzustei2eBh/oCq5xu33oTBh7NyqSp96B/VTkBlN+rZMk/TdYKbK
3mO00Ku9Vuv4QYLnM4X6A4pmxKmOsSvSWN9GMZKzEHpvtHbLuAkoMg9zgsDvPbaCVT6nt4u9dlQz
cZj7yKDCYeI/h4f2xCxLQNX+9vDw7nP7/Ozw9z/xf2cH+S/AaoFJoYvDJEFt/0DZm4sWm0T2ozbM
FwcI9u1/nx3Ev0i54UBh0vlhy4pD3z9nBw4jm38W5lsu/705bP2BVdbzLTFb1S2UTMCbkTwFHn66
VR3XVTG1l5gJC2PcocgZQwRIrznT/7Ih3q5iQ7hhha847Jy01quIBcW3cTmIylSh/DGQJZZz/knj
G7BLMmW8ktPz6125Jmj8llbCWorB7fPjSG4h7EPc1GKZpZwDgvb5EOej9cqp56WrkIcHcL959/7V
vPvp2GUNfpK2Jmqd1InFBzNpiou+nl8zef312bkY7hFtxhmPY8VpCHTb5Gbce4q4IWyyvBD6eCOw
W9fFMkctOOhazRQ//P4Ic1KCYFSQJbjFu5Jow7A1T5rDqrSbuhgX1MRNKS5No3Gp0GQp6aS+3P3x
pSTviHw8nNo2oPL5qxJ1YVYFgngmrLGmGluuhzoZanZARf6K4+ULT5JWNF8UcajAnqejwq0ltHVZ
IPVOuvRiSFJ5Lt20v3YqW91MbeWd//7WXhgfz6538hQXMO5KjlwPmfFanxdWVBt78Ovkleu88Lao
IVhb2iS390tcTVT4KxsOtwlUToZGmHI0wJgB2P6TjTL7lYu99BBdT/oKNQh+i6exPKpppd+laJdx
g8l2w9iKt7GUuOQ59BDl7Dt/rTH/trTw4s351GM2YcsmXXk+PkZniHwslRuOh2xbXZWKPV1CL9Do
o/78e8bthzhSvmZcgI+46E/fM8EqxjzRPA0swk+otkXuAXdF/cqAP2npb9/Ws6ucFAdGmkKoNLgh
d8UiIfbwiMGJleK+7VxPTtY8tv7w9PuB+NIz/PnGtnf6041Zhou6fjYb4mrNfNeLXL7tqAAEqtDt
w+8v9dKYJ21d+pIq5pa5+vxSSO/iFtckmpmJGt5leC2Ehl/aN/+PqzDY+ZhJ+SGe8/lVIjdyMDjy
Gooq2ELZcyUPyVjJVwo5Lw11GqBbZY/Vllrd86u0SD7bpDlWX9A1hTRNs8tcFtGPou7iB8V81b/y
cb34orbqkaX4ExmJz6+YorxrE2k3AAuePMvH4SMZeOz7hbf/8wdINo2J+a/cQrxPRoQkxlVPdK+D
ODI8znKdj9kfG9rfX+UEqdt2FyBtCsdksqBZSOwTZ+jY4DyQuyWqEZtWWFdiVOuucQolUOuzcsLN
rJbuWRRlGW5J/WQQNFwOwWo68SuzyK/DkkR0RxLhiRR4+wSfP1iVFADtI6uMRWdD3pYdjpMXMSrn
7pU3aG2T+j+12L9u2WbDh+eO7+LLu/2Sn761udN+bM1VS25XnF1ivzQemqa2H6qxfaOlgflUV1f7
NkNSaXP9cOboH/IOerb7F8NiNK9shX6dbkjcsvgi6Uk5m5f6898zLeyPjHHGa8L0Kd9MWhUyQIxL
k3wyNdo6ztzyrhs4f7/y9l+8sgAG8tng8txPXj6KJ7XqhlkHfnjcDRonqqmJjLOCYtqiPtLxana/
H2+/vmXu9acrnnywi7DhhCzWptmufOiPNAtXlGh/PJa4Ci+YB7cZ/Z9OC743lTY7yoaatd+Ghpqd
cHToM/7+Xn6dfLgK7tGmjyyT0MuTqaCkTpl1HrhUppW8q/yl2dtZhzpxyNMvfdKuh99f76W3xZDd
zhy457LYPh8nUVatSe6yLMl0curd2GCpiZcoJnZ+0b0R46L63azZBb5yn69d139+XYkL4+b72UCr
lO1VOlXVBUYX65t0MNqrAVVkaGap9cr099LD3XabJu7cuFKc2saTfYuCG+ObLSrSfaIkNw971Ozp
2VQqsw7i0ug//P7x/jqzU5extmYAWaquOo3AHGw9lW5H1Q/DrxJqCfgM9eVIy3f+820nW2l2MBCD
pkk2/ckTzZx1xZ4MM64FCmlvZutwmHv3tc30C98ajnDsStgICvOXKNZJC9nNkvnDTHKgQBv+TYYR
6vblz9/VswudTN3l0lUVviVU0RDvn+HAQT069W7NJnODvDVf+Qy2h/N8+t7O1Z65jQ4iIE/TO/iO
kzyOVwr9o9ldxr5RnFVlYV5WhevDSMrxYQZFyPDVmvD4+v0YeeFTUJz4McL30GOzlDz/FLxsRvLc
s/qvBkYgePeIG8sUQ0hfv7moWknFv44j95Xn+8LIxP2fgzI7bMTDdCKfLVicSfBSsib2o1aEdxUg
XVBbWCsn5mi8MnO+dIPHszI2rqQKuidrkV93S+fomnZWXI1XZKIPODH37mVCSxMwzAOSy+H5Xnms
L7xSShzUHdiIbGnGJwOojRux9sCYFDSloMyXJP5uSqoOg1d7eDs7GGCUvupCrLiSVy79y0eyLbrs
43DKFywZp5+iG01l3TTMKDoFrRJmaR+oxYyv5DT/8ga5imtSHeBTZLt1Ore00WzjvMiYXUF2sZ4Y
sG7miJuf27VX/uXD8G+PYy/dEbML208CSLjgyc47czaOssa4JVPlXAcNgNenEUfL13JtX7wnLIt4
ZVQGNj/4Z6OS7AcIEHOAR7OIXu/qxbky86G4aIBlX/nkX7oUklBiDUhHZ6E9uVQ/RWVVFQWXasCD
KXsYu3pdPtILWs5//4G/9PDYC/EJkNuC4nT7Pn7aGzZQRcksanhIx0z2rcFeN4Zf3P/xVbZlhs+L
h0ei8LZD/ekqnfZiBdXKFOauWHaQoxg0VfFaMNgLT40N9VbP4xo+Mb3Pr0KbqhYp6vpgcgEMINHE
vpr99DZq9Prx9zf04qW26QL8BpnsaVCJJ4omNjQYqdMM0aHPiJ/ICHGmOadeETu98IKQ+/5zpW3f
8NOjKyvy2tclxbRejo8+nfF9KaL6lfG2/SHPlhjFpoOVheMB867tnDw5q8dcE5wbu0RZmdcNEPl9
YU9Y/GrsdoNqwj7/98/P2v7EX65okaWMBtpyCYx6fltrg4n61HBFRyseYGMRFVSWWEapEZeK2I3i
8xIb0P2SuOqshB/7YSzGJWZt9SG2p+zu9z/npYfMi5SUwqnPitNfo8u8GPyIkeMp/K2M2kj3lAi+
//lFPOIn6Aly+qSJ+vyWZTOtSVcDx85JK2jRTKns4ZJVLV9Z0156m1tKFZM8hBDuJs8vRHhyaRJa
AF+b4kSfxrYMzAl3S3c8L8EkX7naS88O6ywGj7cRYqdbBHzW5VyMeOx4vRtdZePSXNTMors/f3j0
lxWqE9YtsjSe35OH5a2NMVEd4IfaXlcDdhWzayevlGNfuBceG4coZkRe1OmTI6rcyMAvt32qF7/N
J+WEVuLGf1oqAs6ggUItauunUEh8fi8+vd3e2MZ+ltjFm2KZxa6OSv+VOffXSsd2GfArlyg20lWO
ZYGfZo5CrpVrFh7GNkOUXMOGE/3W5JfVpkeR5oiXn3tXG2ZEyrEXXVHvvpSqrl9ZX7Z7OfnO+b6x
8KEm5lLZOVmc18bEfl7nbATkKBD5zHFXvnNm1xyv3WGa7HCeVJ5ctKA0r5VpX/gMOA0Q7SJsFmv/
KPb/6f5pPrvmQF85WPCMysLYlMtuqpNr29FOOHQR//nHY5TFh9nDxxF4y797/l4H4c3FajKLOHGc
BFNntwevwLv691f5demxeKVUyBhBxFSdHgeoOeu5xZQskDEykdz3qoulBPt1IhW/MoR+fYJcyrfZ
JnL+AD3ffspPT5C5EntakD2ccVykPEuVY3EIz2C9V53tfosBLqJX7m4bD8/HC0YFZORIBGa0KE8j
zOOscWfd2FWAs7GBJKpxHxtM+r80g5fvLKsUXyiDzFd1bFfnRSu6T79/uL8OV4J72BhIKu4Ko/2T
ORoKx4TJwSyNTAZNdLr3LW+9T8hdZNAoiLnBeW1X+euUs12RQyvdNKqsp+f+bkrSROD/DUWALZrd
DMM5n0r5ypt8YdCgItiCudABbPXV52+yXWuQKnwLyOaLmoOLg08fqsiKH6qutV8L1MXC+OQtUlzb
wgtpE7PhcVzz5DFao6W6zl6gYQonN84HpuvvmDAbZYgfXHePf6ayglmB3eyX2V9q/KBFbZ+xvW/Q
mrg+Mr7VUMilHL6fIoiNVFzT+zPGkB2sq4Oy7KrxQhFVk51NCCPaywlSIjn4yI4qcni6GnvHNIvs
Swb1oi+jifSxizXDVGnn9ZaOz/VApsj51kwazrpGDeW7GFlEfYEX2BbXk+GHFPpW3Pq7uYmsjzWL
Txa2uVZ+2GG0kwSVN4p1j0+03d+5ZP4gyPM73d12ZmHlO7/S2vLpCKVzdOVPUYX9ZJHNy1lc56kR
sgJk34oSJ8tQTB57HRPXkfXSmXrpsaUcAR0b3mYUcjp2x53XZTiazwgHd04qkn4PCAerKDHsdECo
0NLswO6TZG/5VYuApRyJAMk7ZJbIBlytcbmd0zJs0XPggjwM7AFM0zPLS0Pmq8NPMGIQ3aSf5U5N
KOvDSsvsewQy/3FeC4i5oWYnt3PiAoap84t+IgtlnYoz2mNY7y4b8RjMU5XIYCaFawyNmELGYaQw
WAYawl9fDt7suexhJ3sIzWmNcK0no3EMtLkaVZjrVvsHv60LGL1plXIv86bHcFDaJYdUvn3cckGF
/UAUBbY0ZrD6drviq8vjDFYrRuTjFHqrnrkLKWx4uvn4RLqR7sK8nRMviGQ0dm/jokV3l5ddB1/Z
VWyImlw2D7MqBxw3ATOLwCKiagpErBFTcoBOLoaJlJ7rsqG0tOvKASqnLRf8qhQg54ekMcc3xeT0
yEnSfF0OSQXFFiR5GX3uVeGBqlYJQqxU2NgAx5PpXKZpVP7wmqV9v2T5+CNeTTkHi0fMEfmZpVeG
Raa8fTY0VrPv+7b7SnAnqQWUZfNP6EQ5uVelUG9xoiPDI/dj+2xp7bUgf6Evciy7hiZDX+jRkY9d
v7xcxWrpcI28+OPAXkHvxmHyvix+mj9NvXKvSz/CyLgmCA6RKu8QbVo/cwTIDB005Fi+c6iwbskc
EWbDePWmj1mlsDLL3Vp9yhvQprBM8A/ju5LyxoZIJaZB9uktEPoynCFsJf21z4HIDrXyu3JfrWMr
AzeSGVlMBFh2IZxW/HkmquCHCyxqofdy5utoHFZcdeM59ULMlxHwTPZUZAfXambiRHqUqVkvZzNE
D1Se4TFbxvejhTVzQBi1SHazleMmTK/W/pFgiw/haCcYiG7GYDHYHogtHa2huyMYx+RrtgxxK8lD
+5DYo50FA9lwCwPLKup9oxtR79wqqbOdmeKRjwx5zm9m5HDt9Qa6vyt7X9b7xDRyLzBSw3oz26X5
PVt9IhcaTJrbJ0n3ev7MTtwtruIo7fVhLkQyXaLyaeprw81UfieyJG+urbRyo3cN8WfLtTb7+ml1
8H5/1KVqoq8jqmHzXjRlMR54Q75323hMnedOVGdEoJnlJNHFYdYfeHwnLvpLGa1X5SjEvGsy0gku
20q50w7zqAULUZI02FHnGea5Fyw6wLWtuWp5yBqyp85QmkbfUzuaTJQ1fRztTNz4i4OXq6ELO9El
dIo0bnRfBqu0iHBifTT0eWRhUXfrowtwLo2U3TreuuS+7kliK9cLBVRYv4s9Oj5P20CwvyfOOJtE
wlWtIPjArCdzviVCwy0/FHmapfflgvHcJSuAQ53fmaM8e4w0GtoSw+5uQB6KQ0bt9YHptnq2zudq
qiOwTWjo9kc0+Dq/W10nt6+SmVSmOJiOlDfWb2n2bkEd7kO2j9l04yDRjA6TILYuNEfI9p0ebW6q
EsTUQMZrQobfdEh5yqupKQbFFFnVIOixzJ2Qu2UiZrMiVNCgpVLhOMQw7Girqg9Ohv73QComLvXZ
oHVzqWsQRyIMxoRiI2oxvNAtbxD3M6cP4QQaFaR/3R6R+pxdIJ6+jiram9XvaPyOWUHSRH3E8U2e
XBMOG6WvbW++Mb2pvgdMBuKvbWeCuEME9lUeWf8pcimjGkfkbgEk+EjQGyCeljmf6hHPMx0+H3QS
G7YXHRE+44jzFa5lvEsp7Rs7YEGAvyURwH9VE5MEcUQC++3ot8+iXL/NN2YwpsSIn/NGEhZ4BWM8
nM8t0SYbamgVePFSAtoQRPIIsVCWZgN85WyUIoUWgMX1CC+OC+fl0PY2qJG1enBBg2EdlyP2WG4E
ZHWEIesjGDlsjKQ7eg7xAEd00jtilNERqVw2utI5gpZTWTbfyJJybnS0gZjjEcpEygagSfg3MtIj
ttltBGf+F8yZp9U9bt4gnga2tHSFNvLT8rDFZGWq8gIOae2crW+D76F3hEa9jR8FPAElTY9Y6foX
YnrETd287kRgbhSqikrgbIEj6LxLj7SqyYbwPYddRPjVUoh770i3ZjHREFuGH2EbzsbAEiFG/Mh4
RGPtjZKdzQx5NZPKeiXXpf7oHIHarFg0cO3G2a6+ZTy2R/hWrjaC8mhjcseNzrVFM3+bNmyXEoi6
d+3S/mgfwd4JscAPmzSAdxQ18i/9XyywdlEg1KsxfV2OwPCRHYY3xVV8A4rbqcounTyFMh4dv/um
1rn6SvMHChnZJkQy2x7o5PRIKtuG31yJI79sbihzcqSa8yPhPHfEU+2zpIJ8Ho8UNL0QiOjY9wcj
EEdSmoSz9CGZKpeEng2l7o5UNfEIGuXroEqHzPO/yOvGnM4EO19vR38reeseOW2H9JeYsMqN38aN
OZPXxbrQnqUCr5Cc+l2uUBe7S7GnIZiPnyYTsU5oEPIRkfy3SJQuMU2MjbBfMAMI0y6tbzauXhDm
nuEVj7ZciDAXoFw7ct3iIZBqKYYA2JzdjywH8VlNLArartZ553kg78EqzCQ6w66CHEmxJumnxvVm
rKqpn7tBSTvo4LpuXe7zosgEHK9f4K+e8z/RLsUrilQ5frJTSz+2GZuNcwcDZ+hjM5qu8mGePkjc
T6tQWXl9k+XSjw8eWTIw490g+4NddYSImmrNVFCtXbWE2M66WWC4VuzQhSTyYL8ORX1HrI4ZpKuM
/dsi00QJT9JI+6CYvZrIlsKV7wYCjOIL19M11WttK6Q3Vup9nHW81RTB9Ou3zWoKZNFp4V4QEj9j
czEbzrjLPcSFCMsVaD5zC+tCtyZOfmDZM26EjKJh58VTd2klHOLP0kmyI/DJmgtsMaP39SZLf4x1
41k7kvZUtucjxQl7UKy7O0k+jN5FZeldqTz1nDNkSQYKGzNGjpACNX7unTGdDqMi7wVAPF7pAKky
+764zUjyx5DqW3s2vc8OHrnNHsAUhbKkMf609tqpyVTEvwM5d5LYnAKImCONRz9NIlZsOFZt3qNl
6UqWDKLxArMfRjds1rLajBTaJiKJqHUf4zn2yOOwU/e69cvstowACMPYHvXd6hHXiL9pM1/NY8QP
GnOdZtATffxhXGsldoQu4csKQ0SGpR/PybulEeLTnMzgAfPcj/c9ClWmb1+lSVhGI0lTRFA671th
Lp+MKosQaRHLRoyoImUhVIRHWEE0bDj6bE8UUgQpBtezL5s4+Zpa+F6EI5tTlNCLj2O843SsjusQ
uVt0ZK6/lWWU2wc/9kV9wKp/VgdHlngOoFue8h1PsrjjcNx8xdlgK91XVtIcllp23bnysDwIpV+m
LT7Aqc2OpW3z5bAsJW0K2S3ibjWJigpz/Er8g5dW3QW31f/Ihd18sFaruEFRg2xg7b3qu0mq2he/
85CSge05M4kgnux2dVoTEEgBmq9RQDewjM+O3ncYzt5ai4M4qF+ZHNhpJM4OdNJ9aBefPUifWu0u
i9fo1ly6hEySqCrOVY+9+hvLQC0QDvVovK0zTrEBaa/JxZIrX59ni+TcmS41m8k5jkxJzmJmXRIQ
JBE2r842NPxevpvi2Xvv143thQLv+u+jmU73Q9WrD/WAVQLtmm68SuOcfNqldLx7kdTzD5kRNsi2
OJK3I3v3N8s0Y7gyCT7XgUiRODQ5C73PrS24MKMZcDunMWkSyWxU39e4W+/GcoTe1aSxfYC37e1Q
iWy8JzBt+iQKFIE7n13Lhb9GLQoFhNl+wEIkunA7NFZniIdYttY6ZSpa+6xbAh+F9IINsaoe0hV1
xrlODerSfQ2GGohcpVEgkmT0dzUSnadomZs7jINWAnWGsVx2C3Duwkojoij0ZVuuaIGESSQdtfw2
RAzmasZnOh/yNlafhCoTIyjItOrP5zhR16BgdfwFO4RWHlan3ooEyLfvAJU3O45jmgLVOuJ/2t7E
kdhvqD/vQWyUO9DQp/OhltCn0z+uA0FrY2kWwDsZ2/GLJvKib2yH0+mNsQ5Dez5nY9QiIZW4jLCf
VoTL1kQTkybk4zyRRyY4+5r38Xkxa2P5MKBuojqg4GjCBX2UE86d3aeB1VvmiG6GKsHOIRzvoSXx
Itkz2GziniNX8kYYEukuT8rZeWdmljSCtdJjvctyS6c7yv6uvi7rqiJPRValvCp8B7EQZKw7XOP4
WWyiqMjM2Kis83eTtHICOiuj+YDvNV9KVvhYehjx0qHOyLKHZdKOwKiGL3lfei37QyIKi0c5k067
a9JuybG/WVlZzShjm7wUEt8hB/rx02SLlqvEAGB8CqX/KDPMzncu5/ohtHLcm67UOtQEwigHPV9D
fInYkktGIglVEX0rprxPw9yZPBd5fxldYMgQLcSXYihwZU1bMxErB1JEOYLbbjgbffzUiQGlf5XQ
LWCBYT33d7R2UrKvmcjxefBxCqilg5dAaFTrlHXvMw4Z5cWxhvgf/fpP+nULHPSnyuoWCP/3X/0r
rh35+lqVJ8EAx3/mbw3K/7J3Zkl2Ktm2bRHHqB1+gb2jrkMRkn6wUEVdugMO3XlNeR17gzj3pEkh
PclOft+PNEvLtBAbcLxYa84xPTwoIex/um0skSZOxf/414XzF2BjlGYURl/dKfxf//GgUGciAHiX
FdggkndE3D/+dTwoFKRRm1N/d4WFk/pfeFA8+6faN00L/A3Ba1mW5PY3TRp3KcJhDbwhUX4zP+WT
rIztQNiva3+oHM9uTicNucYiWG8cdR+nFBTY/k+GYXQfTWK1yQMbBoOs9JH4wwq32pBUo7s09DF9
VbxYQ+adD2E/O1ecFDkimbUa+hufbY11AS960Lfk+4zZmR4t4FE9Z2WCsXVvRNQFAdjPKCSV3eVx
5/ZLddJJqRLCLnWXUrvYk9atbhhJcwpMw7iHnBNyds4Mwgw7annHSnZCXEzharLiTx3/SJ6TVWY1
6jQjKCqpqtbqvwizW44VAVXFY2Hm7XIhe2brR6/EPOrTVcIdR+PUtskPZcvxSMooGlYOqOOcnjhU
bh43GbbUCiuW/vXE6JXlYicjr7lc1zH/NKMyhMUyYZ+eR0yvJ4Y/QXLp0pHNRJlyx5xGw218T6Bi
/uzIhdQYIiHzZ8Iv05CE2MFwztspmLJEZeV6Sv1uWvZqoOttrG+kC/EqRId7u3l082VS071i8rqW
C/MBgVrvW2FZ+EeJxonA0hOcglZljS1Hlx8A2Hhw7gXtBq3dr/NS+xCy1Kgjv162c/rI0+noyb6M
4GMhNev7/job2vKSrKqalEFrvLQRD54sGfHpJe6PKOuykXQXQmOzcg6e1VJS/zJXh9inOZjeNZ1T
DQcBUytByTkcnR27Qil6Ok0dkwRZOCUPI0CdGKhhdTXOfXa6QTE5bkHZJBMnUg+8jiXPhVDfpm7o
SQuX43BU/OhjbqnuHVt9oq6Enu5h8xUXo5yJl5e41ONaBeU+BNoUtN7g5XDnBI+DlFExXw5ZSqKO
LMfbkSyCRLh6z/UcmKrNfCCuRjrtvdWI9ovRtcunnODbB56a/WwU4HoSAjHV+WJX+r6wHPlppu79
YfE4sETzRC01CtZiPLV7zT6f6sMMGExOMgJG076f7Nmpn4hosACD1X4hmjPZ9J76ZC0ZkU/R+D8L
Ms0/Y/F9ir2Fu322faMvty/rPMyofOHNufORVu5etS0qtIFP/gyqNnJbg3giWU4y/wRRLzhYUzbE
i5tZF4jPAkpijf9tsFiv8zwTFyITJL75ffMgt8Gm0t1Yn0O++onRVnvOfI/dxVGXniHd5oSGhrDO
NBvpAQQglZZT0C8Tm29IPZW8Y+Uy/LtRyXQm+I6QbFTXVirwYGq5lhddOUis6KSaj2RELaN+ltoY
zqmEmcaHQWK6vwl9ItE+0CvxVyqjeWZfep3v6GSqDGy70SgXQu4mtI/YcHNq/hNbDGUvAH8m4tSY
m3znRnWrI+bYDIwKi5NXzAgrPqDzWAn7Dsa8vQJ1qOgMsJ5qylggyZCgBvV0cEWfPyKQyKOK8L+c
ehQbMvkA/M8ryZzepuFZZLQJKHhhQB1V1ReJ31hrdwyLfqZ03pVYcDM77zBxtTWDje5LGOui5UuN
LQKiojEr8FErlAQu7t1286qk71xjuLWVLG9KvyNpO25pmzgvM+6poqTp4OTLtRNqYpJqygJpPExZ
GpOeDCvM6vbait8vQLDkngIkqx4YhIszCS6PTQn5dtmDg7ou1M0BzhvVeE5dbUw3R54Avyjd6723
TcNKaHVdLqbkg68CrzZii1aKV2J1NcxLKrlYgGRuHqmd0KAY3Cppql73VzI0P87KfwmzYZpv7NE3
OcHrMJiTJUiLY5v1ahqjZSGuZal14xzdegdOLROUuMuSXjJ+PovtuL7NpF7GK7PtKE50E723J8R+
xHbRdEIyuCygIC4zsj0I+bJm4Tzh9dpnVBKfyXjsoGledlY4+wSxvzaphmxF8j8bhv4YynzQH6RF
vEdRZ9Sy4mxJy/lFviabsUEmznWFNlHeZh5paE7BhvWmaamNHgEzEr6LGaq2mLjXbF6JjpNUnJhf
s/Ohlo7/nAVuP1yY2Pmd034OwNb5zZq/OF1ljFcElJrFpbmFLcO3QqhJw0TSWVqSLJdG8Ihuk7EX
G5W/EWMDK6acLxrX8IWOZjh6E8Wm3lluS0s401mejV1776y46q6XNd3sj0AS8i6ei4WY5QhI2bye
lUUzezfEcqeMzhmYHu0j1qFY9ug98S0EX9dlrj9sM7l69Wa8cJ6rdk+6PBW5BpkhW3Hr0+8pPhMP
P+XP+eZl6ixcOoR0tQx59XtMdqaye+hsimYEgYYYoIuCqD2DtDC2qpwA6hM1lwWAAi09ekBDMJBk
j0Kuzs7BDoSfKxTBpY5KCIE66UOPbik8u5TajVqL4tQa17yMS6yyXVI4+fapWVdqL7oOu3doPLL6
SlbbisizJJdlOaPIZg8ftGbOmXF5923PyVWvJL2z2QeO0If85ikcv7LteQhy2yfKbxDdvQAgdwIR
4gJ93SPe1nHBE8IyN3715tyx43njrcNyrSN2RGZ5SK2VsjZfE+PR9ZHKL7S8hk8cLU0j8au12B58
9uxwOaGbFvYpyMRgfUfpm0IEZB4HRJ5yR+wZhK+tCxCA1hkPbjtRPCEStOzJQB36ThGKGPbigUld
pu/HQENxM8d+EsecHHKKQJBewXlAMjUNdQgbpxifSmW3LL/B5u3/rJ9tFjUuRDqUF6cQ4sYTJWgh
5aGbDMGIaC2zlGdycDs4NGIql+sqdamiA2HL1RE4RzUdigFL78nkl9P7krJkj/ddNNZ1i7/sHkjT
VF67lELEKI6jafc3fesa02cnC6vyFIpIUUGy0zK/qIW/ZhfjOormYR7IsExaOgXqneGms3jKMyba
036VO0iQENSL3lyLDPyiMr0zTjfdabW5a3cmXJT8R0fUCrSBtZRFd/SadZyP+NI6P7GJLbwOK4I+
S92aB5c20jOlM/3oVLN7VQ5Oe+pNANdCRHJE25ntpwK454mG8OacauBw85dhVRVnJ2X609U8OBY7
xRaXNnHw2ToeOLcNyzcYRkN3sunMa4uTbB7VkRxbopO8lJCsJGVb6p/00pzolRrOliKhJFVbRJBp
Z5O8u4HGIFTDbUjDCffoJK5cOFLGcFg90HfnU13Pjk0vcA4YYcYyz14Sik1esNwW937lEOR54OfM
JEOD8vWyG4o8YK8IonIX31YmLXvHAcuXpDZlDPGh9lQo3QMZ76r8aJeeQYDs/54Hf0ISIDTkmPb/
55k9vLQcEWPOiWPRvnzPNds1ivzpP2yC4K9d1fRPJI61e8v/4Zo5UAZACaE6AhEgyGz7z7nQsL2/
dj+6j2ADBSu+d/7sn4PhHrSDgIlARt/yQG15/wps9kba4u5BOGC7UNGgyf07B+h7TZQrkJLIiRWq
RdgKEMtNH/1FOaeb082fv3tCt3+rnr5HmL2RBv19qdAWjs31cK++0ciqSbTKJbE8Qbot4tmiVFxv
4Zf/5iLIROHE2b4Z7vf7ncbLpOeHhEw1CZpb0l9b00zaJdz+oGLGafujJIibCSFDYOTCyhVQ9Hlz
HSNkfreZuJKgzVhLaJ/JRBv1et1tWc9HnoOBJnsMxR6nKYeZYluIP4gMpdV4Yaqwgh4+psv2xVwy
M3ViaYwkNscK7ia9oIZZDwlESirErY1QgB2ly4ZUZG5QHIs1ZdEux0LRx6DvoE8p/xr0Y+jyseb4
c7YmgDutr3YGBpLZav5SZ062JSGNWhMlTlo68Yy2jwkna+gh2Hrrq1PPGFklFDl730ChdVeEJIOb
8qj8o1iwy+mrS/oyCGDIcWWM53R50L5QGe0Jz37XBl16bbEHKKMmRcwea2ajIt5YPZa4o8uwJIgW
hgHPS5k90/MjF53jLQogu7JMiFJTi8gBBZsP1XeFm82E7apvQ+VSXgN+TC9qw7n65DGlIWfh6PNZ
oXw9dwxK0mRw2uUL/z5S69mauhL8qqQkDzOvGBM04rl9QVGxvTZFSd636IX3Ypa+MKLStqjCrpxY
57ij4O5HHMaBWJV2u1212RyI2Per9jJYKyDEA5UOF7HFRlWuCMYpOOXso6vLlT0/oBsxyn3Nd0wq
7YPpbnHe+t7HnB4QHSStx7tW2aTGDoTPUx8h0c6JvXlbr8yhGZ9Se1pINw3W8lE3S/eJRmq2y4O0
ue1yp30nWdW9FU/S0xQM/RbnpYL2415UlnZ5BMItv5LInr7DZ7g8OrBvYZ41c6E2bhhzRywFGxAO
Tdl4D0m7+2ibZXnrNZvUkeKg9ZRXwfDRRtJixrYe65s2t9c0yXrLf6rMpr0Cqqwu2qYIkL067QQB
LxPTTco2bj3tcxW8d4rQ/zSOnFtxQ4AmR2Pidpde6VpXsKp4E1Nfyccwa6uHWYbiDNcX1ZS890YC
jmsCEHOBhAjFkrGeGhXqaH5HPn70JAdQIlLXtopCBeMpyhi6L/NSovFRNmHyHJJSoGKrcJ0s8qjv
vHQZ2g6oW7PHiQkqjxVh7SIY0TTBecTeCMg/Kr0tOysDAxbvOqocqZQ3susL9KTvslzNlE7Yi2DA
2WyKuBu5iVls1EvzIm3d382d8L9QE0hP9chekPO7b7ynTP+xs4Kaj2w03ecUFQQZhezzNURYf0D6
Vdj2GK3TIu+wYVGrdjcXz1nAvl4dVrZjEEdKmHmxb3B2ZzNj3mhvcsGCYbAaUKlMnYXkgP63DAyZ
xoRprp+xPEs3bluzt6LC2HnsHEOyM05AqT5MrimRCZVGnx4W9BRpBOmOxtTYGBCrHS0GGzxUAMJY
TRqI+WDVdK0MrEeRh0/nbEMNjbLbaps72hz7W+/YxUeralZ6pIDiinObxqYTUZSo32FHX/1jM8nM
igAMg6Mh03Pbty5Tq2KGEXRM1TnDkgyYbNNIyFJNJ5W/VA/DnDqU/DZsNFlqtQC9Oc9ApAsg+cVa
YKaP+6JvyGYwNn/DoLiSEe1WmlIa4XK0clCfs0ELdA9FbLN8+6SjzM705K4DlYl87T6Y+f75w400
RxANRfAuqyd2UMWo6b+vKySKQ1eVBht2ezSAEiJKQLJlaPHFS0EAX3rsYh+aPJ3f91MnbkTDUfAw
bmRtH5qwzU/WjdoPwiSFzt6RdGMRFKGHjbe6s987TaDaA5oKjg15GNKLwYyYFXE1NrMb1YbT3lmB
Cu7BBfBLDY5QbC67zIZHNeU+Wg37CcWHOKEcaLQJtVTnBRFzQw/JxrQ1Nls9HyzExiq208l8RDpp
n2NLr+YIMVX+RVZF9sHGpU7DZNBNwXljKJlJncZY93jQvSmtrQrZQAkFsq7t/MaDcsKnnFv2Nfoc
PaPnE2GRhIXZ65NQGuIbXV+ate2St2nUoyw2krrkAJuo2slvYQU0OrH6ub/fn8hMOISXXiIztd6X
KDj0IR3aghJd3bZNnFKUuea/hjLxssV+BOion5ainfQBxPLe8xRz+H6ZrODjxii+rKlQYrVn79Im
hhzQrhQQU4qomPXySXXNtsSD9qmlVFnN3GyMfDpRLur6MyhB9GQZBPXzyW42Vj+KFuSoU8GDFTqC
5ozV5nW3VEOt6yBgiT7Ug529D0rf/NDIcSXlPDARFop08M7J61jXiKJt36LpMN3P1CGn4dCken0p
uBTsR8utnulelgbonax5z1EQ9TVnl/TRMez1HVpF43QcFheewbb3P1sDuWlS+SRBg0mZzLu+dttP
MNzrT0uHkCle05YvFcUF2snKmO3rJZ8cK6lM37nb8rp9bNKlpnJhYRNrOX7dWFI5a1LYE0xDZyvO
kFZX90beVhNnTDFA67GM8digDrGiDU0EdNnFIIwkw9kP8bki7iBzS9TWDdu6ByMrqkej3AO0Z6Hm
50UX2QsEBAjm/mRuX2uMnwBeGgv2RWeqCjqBapCs+isZ4oCcluZhhDEzUvlv1ktCCLaboVvdB9aq
2okIV+7Peiox/IFjIl0typQM3aVv7fdIHTyLtkEuP2jwt0+u3VnpDrrzcFIt3tWGwiONRsF2K55F
YyxRbU5kapfBCA5cZOaXHhLofNoA/swOTbFudy1ttdu2S0HKG0MT3Ptea3yWBMHUiFx2QW8Ap4nH
RO7DZVd70OBSBWeB8eOxvlJ6oNVR6AlkPW1JdWWgP3sOK+5Th1NxOWXu+LxxHoXLPbLUsYRcLnKo
bmBF7kBDlqcHkmW9ItY8HTfJtJ4uIA15a6RJmbhcWFXmuEUEEndWFb6r88J5LlSngmMzoqZqLGnb
yTCLgLTjYlyeSoS512PpoQzdhF3lF8L0EFZVYa8zdK0Yr9F1detTGSwhmienMC5HvcOKq5ncjnid
ne5W6t2XpG2cAwfD9QefykY73qXCTL+sncWHvKZ18VI5vr4Il5nUmLBIMVJQDCfH3WceQg7rVbJi
SRrzb/aG7DhKjW34FK7SN+KiGrt3LNvtxwldenqszJn6cmNbZOa6mXeF2Hu4MbRfPqDLEtQyRG2e
wYbv1ggdZ/cQogl/GjLhPbEVCTD2cb/4uWHvHqtQ+Z81zTbArVJkN1BEZJqQ0m6iG1YBo4JpnBHU
rD57KxUUz+2yBEacD+3yzVxtfQvNl5iKHOHDZSD6ie1uOdAxWNLaXo6/P6n8dPKyTc4QTNd7yxB/
1n7C+O6kov3AbomC6RLIQcNdbfRhwq4V4fpq+c+/v9SbaEN/93S6HvHkPpgYbOhvTW0ka4y7KXBI
UOM6j8jGOiPqTSP9OFAxtyMp1pxXt6zUuGvXHYpj2Hvrt2YdwCRWnt0/WULtEQHUmq0LZyTBgW5S
jjzBbU3rQqOzfuztKTAT3qv9dYIx6id0yfozVVjiWpPP8M0SpryDNrR+9LyF0BQ0sfSt+64KX/Tk
6I9WsSAHpTQf3KmGZAF/dLdP7VI3D7TeJX31hfNR9Ppc/re1/V1r26Zk/ttSxtXL+NLm//f//Jjt
+/df/VPFsGhhO4GJ8gDK4o5E/E8Vww3+Eh6ob9Mxd1+cL7jW/3S3DesvExjA7nIk5JcG9477+qeK
YZl/YdbHcPxKzcHQ9q+qGLvf543NyiVKzt//nd2L+saWB62aX94ptrUlp1i6LEXxftjWxk3GPnVv
hwooLH3bHIYMewA0PL//vn7hTbSo1rhkFNOv3A2KP37LDjprzC4m3jxf3pI2VgG+Datkdsfa4lye
ew8VDdCFHIpFqiP6nxRVipTDu3x0cYT8/tf84mEA7LJQ9uCAB47wps5i11KN28AOpQKOHYO4Up8W
H09Na+owqte0upLBEw37/F+7TXkIkC6piFh7gerNhGY2Ye2xWHaRhxaQXVSWOttJOFtYIn5/g29m
TiiNFkYmi1HlOFCP3F3r8N3M2bRtSQZ9yxxEeM+7eS0dcVitML3geD6Jk39/MVQ4tB/3cc9Z4seL
4VAgrR7Yc7TxpM97q5uul5adLqL65fH3l9p/95tR7O+XMD2wR0zWewHtu/uyUsxdouW+RIkeq6R7
/y5QYj6p2roGT41U4PfX+8VzBKNF7XGvMgbYBH+8Xu0aBflCHdbLTgQJ6vg0HseMIyh/8+9fGcow
ipX7rZmh/WZsFH7TZ1KxbCBrRQdBUsyUgudrnTPLbtnD//7G9s/tzYMMsD0jmxEWSeR7Pfb7B0k/
wK+zyUCL0DRlzNlN4sgYIA9SSpL2F0VhwDwZKMz+oSz4q+tCBOKSHIXAy7z58ia1WGg1BdfFszdF
eirca3uFdDi2Rf5u2cshwZwbf/Bf/+I1BgI6CWZIWBRs3n+82xmzRqMM2tAM0xUpMF95Xw1djPra
/8PU8osRSpsHxyKgOepYP2UVOwvC0WVPspLbFtfTZp+s/hycEo9UJguV0D+wUH51a5AvdsIZSKef
rjcsIqMjFcK4l65/ZsNST8jB6e63oKj/MEL3j+vtmMHojLQX2CHP8s2YYaNrq4yjVWRmRX295zfQ
Zvfy4+9H5i+vggbLsyFU4XZ+M0LMpkeK4TGbDCVqa0Ikg4sct+K/xtXsBXa6Bsi9WIJ/4pPkGpbR
ijJ4gEqP4tb06/XULUHfJasXmMMfpshfjQogMi4FV6TNLkv5D5+baW7+OBXMW4ZSD7Pa7oD2LxG5
Y02EMW34w4v61dXYwu+UY9PFWv3mauSPYd7p+bjHdcjO22J0jrLKxJmpdX+xLdv0h7v7xStjRuZr
Dk3BNb03yDvkP5waDXp5y9xzFNxy056TjJPnn3zGvxjsXGJn14BRcn9qXejetXJV8B3rmdNr0oD3
TES1m3MLJBMPvx+Iv3iKPERYfnBEOYWEbyZkwgZ1q7Kgxb+Re23Czxk+cxzxkOwbsJaAc7n5v58d
WbEZ8zZnnh1w9OMw2bqAvEFtt0RVFGlMiTJxSQoBpuQZBzdFi6a1tfxhJfjVM6Vr4O2UqB0F82b1
zhWFz8YgTFXImhTUtMJlwum8omj2h6nxF7uu8PsrvdmC+r05BSPi/iicw6U8wmhwnpiviXpoBdr6
SCG8vF+2tbUO5TJ7fxo8v1h6QsHkRUoRB0rnLfioUWNAXcSivEpa4AkxCsYtuaphMnhyOGA0W8/x
MabPvx9Ev7yov08zfB4ADt680RENvVUEaP7kwkMtoLe+42j9LscQcTT9wTkuMnf/cM39Ob6Zp/eF
gBl0P3Cw5/5xFMlg62TpjG0E3MCKsrw9p7hRPxOaUn7uGqf56DWUdz2DsBJ70c0fJp+f3zKjCAo0
AAniqnjUP17ddDuhHdTqVCW0dTfZpBfW+Zi9oIKZrrbASA804eSV0cs/rIQ/z0L78OXLwS0MA0S8
WTjonIbYdNs2ShGQ3KDsxAXvlPbd71/oz7MCoAiB3QASNISrt+v7LNqpwEEGYwWHzMdsy+c8UZ3s
2qObIoJXk5fRDP9P2/z27xf3fVP45wfKZejU7g1w2/Pe9mtz1Ri5ScpLhHWa4v5QtN5tiFUaWzok
tCPmPS8SbWbuZey0HP4wPfzq6q+7+r2Tziz/ZgDPRmcWFjWYyOx74ggFRZgJ3FaHt49s3IJ+SgsY
IOk1+cun8J2sr7+/+5+nJ4c1xdxXTRYyDo8/DicfiBjbZiYNW1fOGf95qXoXXx/am+O/vhJUI2Au
3n5BDvI/XomzBKk1Natmm4aiTVrM3LgPKjCcR5+IjfwPD/bnr9RhHAXM8+zboIC8/UrxxZRaSZYX
ux6+sKDguS6rxKpSuoeq7QA5rMOHfhH9Sbk67tPvb/bnj4WrQ78K2Iwjeg7eLG5qomk70RqIgD2X
F1bvm5FXtva//iT3q1DYYCMMBmLPpfv+lMEXEhCsgCceGlWICNy9ngNtnP0XtwKRhK9egO5/u05L
1/UNel88yGXrbxHHYRopTHP+E775F18+PCobuhBRv2y23+yq8DZ4zbKnSWVUEpNwILMttJrsDES3
PsfCZfzrLSpmBHwSAS8IBdZbiLPM7LUb9ldkGKVzqOegvvayeTk0GUag3z/CX43FXW7yN2OICsWP
76kpC5Pz18oeQCzyDIu5uzdlmsQmmuusl6N5PjjKu/PGsv+Amrr/w6fwizmGbR2PFE4NGRZvcf5e
jTNwNNmMp7tjIRrQh926QS2wpWoxPto2xihSjYrh0cUtPP7h5n9eotlxUS5BwQK0yn87w3XG1tsA
A0DhbZ35gZcB1KS1+RjjKc9qGB6Qwe8zQ3v/xYTDhUGC7mYYioNvv8GikAOaC0pi1iCRs5OXNgco
RS0xVQ+/f8G4YXiF328KKE5isIGMJfYaHKEtP77idMxxTLh4HAK5EZE4AMlFzG+FFDOK1R7sk1w4
NKBr21pqwkpUpo5BRbM5kU7YK9KkKuuDUAEFaWAz3XYs7CH42q79uvu6F01Gfd+kZ3W2n2bmJh/P
stnEKAqKQLE7R8m1N/Wh9MbCXLDgbhr1AG3YeSVWsO0F7WF8fZGcc++b3HD8R5PVN+I0kNNw5S+2
EAm5dB7tvLSpvpTg5+in9koHh3JYYMTSoOSfLU2hXwa/qD8T5Y0Mgsh2UB9lpTeSjKXcpRMgUfDh
za6xJlUWLJeITwpxQek9G6LRdivr6Lr1djL6c434yiBHmta+aWeHUY39vVWuJCYBJsoeVncjUY8W
kPlJKZfMQp9KfBFtkyBlcg19QpYxjU8xyA2SYmHF4LJlW4GIolhLmOyrpiMWqvZy81v/2iGnWR9w
HAwesufU8pDSbPZV7lTFGpF15oVUCwmkz6dlTiEUGejHg6wb6kS6kzo3lTcUieCIYJAJni13ikOY
ivU8DVuk8UCSszBpRJe0vLpPZtDv+hpLNf2RBTalnWP3qEwtq3NNFDWtvqvFLLyDQ8Yc2S5G2PU7
rZbG71JK835aQ8EBL5zUXV6nBmqY1VYXBRj9kL29wzwyNNZ0PdQOGBVJghVJbR4dd1KKlU0Buu9v
s9yQ77HIq2dXBQRDS5JQUCikDTYUJ0+tz+WcLwS+wISwD4Gn6ZE6bamWA76KUR/xBGAIqsyKFEff
IpavGHOUCNAI4PQInbI52pqqkghmQrpG2mr1irZ8pYGNu0ANKN728eEOu6EU5YgBabVCJZ1lrYU1
cSPiHStD5jtR28C2Acvbb9OBPSsd0w6MxzN6lLJM5qwJjSQQ9TRFg+71cHABpt01A2T/WE3G8DHt
KbqTYyi368rFHRfbqGQJJ1yER9c1TMPHJsR5vDc63ezYkENPNjX+j4tg3ehI51u4mOA3lmGIwxGu
UEx7XT7ispp3wpGePvdbPuAgogP6cWtE/sho4DGYznqsRWnq94SVZCGqKRnaOEm1a59VDdHkZw5R
4VayZMsoXxYcR8u3DXBPHyPnWwyY1p2JNUI4S5+kterrk7mVlvm+wSj8IulMZoTf9Xl/PU+ZUd33
SM2rk9bb5O6pwSHEtgK3U1xbaYclCns+5XRjc4ykq/20Ph8averT2esL52K2iwxKy7aOLhCXXq7v
M3MpbvNWhDk6JkHfFL0+jfhpNIPnBY+hdXDnhszHzTfr7dSg2mbCqBsFLKLV829U2VqPQ597Ak0L
wdSnpFvaYzJO2h6vgmDb6vfZDO7qAAQh725Va4ZmMi3p8AXlYeNA/NmAWJHNOTlfB0bRihXYS9eP
qgyoyOopX9sTnqqPBq407PCicC35gh89X24IlG6bm7QHmHPVAtVQZKV56dYHUev5Tfkw+QG0mXUj
X/ysZAYUEU1uKU4GREJXpBNqfSEadpxXi+fX6qTQrrvE5TSYz8Y6zxCoqBtj/2aAw5RBSq1OerzT
NPFbWu6JUQ3GjfLUHB6mfZDGZNbo/BobBE3LidBUFYOeyrNk3FaVPlUhNXTCMjvrduj7AawFur6T
XTSpgLAY+eWMRS0/onBYjYs6b4biw4AiJr8OkVVv/GEZ9AdrXIRzyhJJAiN0KWu5mVL8CC+46Rzn
gHncL0j2cNsuBkg2GZeqXP1vgDh4n4Cg+uloVgR/HelYaXHXItqXF77CuRZjXWnEcQrt5ZvbpNV4
CgqiEUm1poidZJ2K8iwzrfKzuc19USGKMKcni4ktiGE3ABWj/bOYUTMZvbggMXy3daLxM06LRof3
toOiNLJnJLy7Ds2yIzWbOk+8nkxYAh3VQHIjqRn1RdjA9DqnIOWHZ/g0mg+iaT3mhnKY2J2obqxP
9GrPKlGhIZ5bJKoFThZuKU6lZ34SqsFeX0xrfzamW32yeKllED4fll8J7Fuf/WzJrvwUKVGIDvaI
Qb66seqgqs78ZhqWuJV4m2jIrfZ2lF1BTmYzlbO6Fs0ix7MWcREQG9lqjwLGuppHDWxpjrHTTFa0
eu3QJj1+p+VomTjBkm1ldo7HuXS7s8HGKhKjYgyL2PYabz3UDvCrazJKmubUmlhAI5kXgThgn97O
F6Lbq1PsUIuRFJuz/5+pgQSk2Iqgg/bV8G5Go3LSQ9cYY4nYTxf1cy06JziZAp90W6mDnB9SGRbb
nAESBFqG/WvoWIyQIvU5+kJX5f1wRmnDfVig04mDWyC1jh3SBFJmS6DAkfS4WAzHTNgRWzXnlmq/
WV/ItU29xF/KCSwT9IUGVZqU11PLDiPuzUGV2AAGDgkW4suvGEWtK1/0SGiaV5KXvUO9LL6L8TLf
UV+S1E07cV8JYH2208Bmbdb9gXUYSti6pkh5hmnrn7vStO+aV6JYbhTyfnFcfOobNoocnevOHyuQ
GE/x5IIlo/cBoYwUBqtI2N5ALiOQrs4fmlG2J+Ur22z3xpuRuyPP3FnW1XE2ekhoc26jMTZeCWl1
O+tLF2oTwbp6yb7lO0ytJL2YuOpXxprb1LQ16iwY2wNTFxw295XJhtRbTyesweUdmcpQ2/wd4CaI
JCuTflagmhoPxBs+Wrip6RoWT0Eux5EfvPPgfDUst5AeoMTlOzAuY1zBsHzlyDU7Um6xN++y6O0K
ERrAOfXKnnOKKf/A6IVIV+xwOg3nnLXyb2Zda9f7CDLWnby4Zg5+4KG7XqwxvPZ1hnaLY3r9EUYg
mbLTDsZDXGEOh4ksoQOSU1glWuwUvdrkxxBNB1xvRjf3roWY8a22Rve8eKXwdVitm2QxNMyurDey
z/krs2/p+WiO9ggWClm/OV95wG2eDax/TItFivtozNTiJw2biPUSaCpowKaQc9KvObIr+5UeGM4t
Y6vfoYISROF8CoV8rOMQhRTCnJ5D9rWGAsTOq2pgEyLREE5cNdU4n3mv/ELzlWVovnINja0EHmLn
ro1fJ8JJ1mKMMee0iqXkoe/aPcaSM8/NyQ4dcw4pMSVsymjh90D1Jk4rBqJWWNbLyNYT5WzeJdR2
QaKNm+R/Nmc4ZDOWJeeUdtH4XgbM3EmbClEkBgR9sC1W6WyJZ47/j73zyK4UWff9iKiFN823ge3k
lbLZYSkd3gYQwGzuAN4o7sTej6w656Z26kkrb/tUNWpVGgUEYT7zN6oXFCMBA3fGmL0oXbJyvPMc
LcrFhbxNXXHgx9YeahpOnSneRveKGTUYbTF/xLJgHFlGtnapg+EbiMFTFYYhRq5DUGkmsjHxmEB5
VGa0uwJlqfjpY2VA+OaAmNKdw9V33wvNW8K2I+gA8ZogqanNXYaXotYT5dQtFn1bVB4nb7+KTHQ+
uKfoIQFo1/qEYOV9PY8FoadjLMpZWSW2FSRY2NxGwkE0CcMVtGbMqkPairsiXra90KsmmFDuA3NX
mU2o5EkDptbuHNV3QSpiDaUtPdYUltu6R9dL3e/Ed6uqIdh06tcoe99hlp33m05TnWtpoOqBNcmQ
fgJTCHSHxq/4AWTOMzdKis4X3tkCnmYnZhdmONIyP+BVesdqgjod4m5t3AK1Xy6WoZAPc2OBTdfA
s+5doF6dX6FgAwq69LIDGDEdvNsY2fph1GLvDDgcD2HHrv7DVUWT+EuVJ5NvoU+AcEGn0PLl1iRB
iBV8kbEPovZI3G8hEQgPK/9mlfo4cuTlaeO3ToSsa29OaPJwnSVGUCHOOe4VLBth7buCXwH3J+/M
KG2G3TJKGL056pmpTxmVJRbx5CH6s4kd1P2koCmAX+2+XuymQfpTnSUgaQV9Eha/8YwiKLxWk0OP
n60kpb7RtSWGyNsNFTnYNHjnUmZQXJ3YYkHDDEWpC9r/+ljDMH0BH8bAsZewlLsMO3LWEzcOgaQp
7+QCS/HacGOr3Ndeohp8gLn9lNmDjswWdu90k6BL9px4ib3Ksgr5HfRnciMLjwekEkimMlJl7SgQ
qAwsSxFdgTI179WpInOpkU4gZXDAyPlQahA7cIqJ9zFiSJB+1bYFhYRWfs/UdR5ra8K7XcSqZ2//
lhXMzI5Eh7gquclKY9GI9iHAo+81yu9qvJqEKG6BGk1dYpt1wMaUEYylH/DZVoR33pWydM6dueJ1
iHO984xjoOemltCf08KynZDQet2HPYYJW6Nc3O0c1U0S9o2m/bC7Unx5v+5wUtnB/wE/F8pKtDwp
mANkel11gGDU9Y3hQJpRTHKkAuvVYa/GEcjkLIIdCVSJhMyECTkh2vNBv+lnbfiXmsffo6+lXBOl
ZQ9Vttej2zhzt6D4S6QYTCR4zTkOSIZ04mL3oW2AYrYDmOKur+OwYEaCKnPnHUrDItRlHG2S2eoe
FYM19P6k/ARXvPdc66z9gmLB3MC2qKZXFDNA3oedFsFbBR8/hbmu/kgr4FGsbyVVQepSYdf6qApz
+LBQEtD9iSDZPL3/RCdF9r8nCocT6utosNCuev1A7YRC1GBmlL5LkmREGpApjrgNaAOK2q4/KPed
lKJ+jkZJkwVBHVXnn9ejNdLEv1uDBT1nlvvFTB1CqghlcRDqkzV9gZ2j/1lP6u8RwbpQ3EN2lU7G
6xGrKBJ1LlwCTKxkr20oqZsh0tww7tXpMI+qt2uqZPBrw/4AePL7+qegaOCCxQpk/FPU22wrVgG3
iHSyQsOFcup8MYMpOgOKy/k0oacBB7zFLb2It+9/0pOSLq/8euSTT+rWY26qoFo33TjXSVBDofcu
OQimK68tV5JatHDZtkjNNPel2enjYUwETm/vP8VJm+Hvp1jtjmiqOEjYn1QdxWyh7mayA6E+qKSs
mX41L019eH+U3xcU74qvCIsJGXdMRl9/XoZODa9lPxlS64+Wxi3ultrRbaX8BNfyIwH336eW5ibL
CNs9NG1RJXo9HAewhSYXL7Xwu58V1LVgMLXDzsklGj4IrgLziLizrH4IinzQdu+/7e+bleYjZxq+
RLrNwXrytq5J1ahU2D5dT/raT5HwB4ODSs20/fsjvTWvxNK4Ga5IMRAer1+08XKUjlJauVGrt4ci
izWBSASMHNfBRYL2o+N8YBT55oiYnaoqzb61X/56RE1dMrR2OYiaBLHRaFYUpA8yJ91YXZIjSDO7
HyAu3lqgIElWywhKBLiAvB5QApDBeTnmKO4GrnVvaUQTNI4Yq+37c/nmQKDtVnS5yVc76S6mg42K
8MhcLq2DKFnfEzAj0PjBKG/NH91aDRAhoDBNPblvpeP2aN4zSj8kFpQoy1v2WaJ34dS38BYSZfig
efLWYqTqZAFfJnygQ/x6/pBNtmJUIFki2ujdyGppEfmNY0cJB4SHyw+Ok5NWzc/jBCksUEZ0w03O
1Nej1d5QDACpWPpaXL6kiceNgfJGOi7NObRM4iNitPHh/S/3xhnObYVzK1BJLsdTYOYSIfVj1XW1
cdME6VTNiXaCCsAG68RtW0TuZcPZvzPR3P3IlvKNr+kAFjY8oBycbebJGU5ltE7clp0uosF91rVc
ywhZtHHfLVTOYiP5yDTijUW6nmgg1Wg78knXB/olMBHS6y0TftSmNBQQItKwtoNifGRv+MZXdCCe
s0zB4AG/Plmk3hzFWbXuOaoo2kS4vFqKGoL68larVFjJaabOV9o8dskHB9qbI3MPrfaX3EbO+vu/
vF/kZjMlXiAilHJJMCZDj4JIsDc2M8igL1wtJRQOzRqjDwZ+Y5swnkrIQ6+PVz75kh0tCqcfGHjV
BzpCIB5De1KUG68xhw9OtDfeEZSVAZ6L0wzhmpProS1UfZFWCSCUHlmgdIqxmxDwKZhVQ79p6rR7
yjHr+KDT/8YL/myNA6cECK6rJy+IOPHgeSObJNWEFahdjG4kZdddrE7LB4fAG4vUMzgCABmtrs6n
0IWs68tuWHhBGEdm4PXKFMjW+gjG9PsoK+BEpW1qeSBF7ZOloo5U5tIWWJzSJsNVLvMqdJJs/CA+
fGMUoiONfzk9QRCcHJ/oPUHks7wKynyXYmBXWb7WJnb4/gn2xigkP7TWucIhu5z6GFIaHCeyHCx2
ZlopV102qnVQdwhofrDM3xqIMJdmPkBXVsLJzjZG04wpj3PJSdX001JHkjuZPnDs+f1URNmD6wZp
EArB/Pf1JoZOg2YV/S6qg1Z+5PBM55BWAm83Ia4d5knczM9/PIEgvajMgb/i1NDW1f/LuZFWNiAk
vHop6ZIsd4nbbJt5moL3R3njxRwwySooYYzVMNF6PYoElI8TQAvAxEOorC4S5xwsndjiWJP40BM/
wia+PR55if2TCXB6sY26OjgOHasNwmY0QxUMkBzATzjehJma1TfD1Blf33/FNxYIr8jn45YB8vBb
PaBEQdNYoYlzUqUBDBwsl+p++fP1jvmXiuQIIHV0W052FbVX6tYTF8xQqNG1O6HHJbJ8/oDMs66z
11k8iAyLqwQikUf+cXJCRHbSx9Bsyo0B0n+bFJPwjWyUnyA4eTtPIoyR5/GEqrdA6fL9aXzjyxFu
gSVf7Zw15xRXNaZq2rbgtfBdMeOnFe/xtAyeKbZFTT0PPrLUre37Q/5+rYDO4YORD8AYgeT2enEm
Ek1ntKPKTWRUy85Ciu5zoQyzOFd0agbXUT0a2k+HiI88yN9YMpAbbJcN6LL/TtlF0IAIYJGroQfS
K5eZZZYb0TTyj+NYXg8WHuQs/BO56F+/Xt1MzuC5ELa9wq12NCwBRYAFdNgKRVF+ZHf81tJZr2aw
XcwoCPPXow1cahUyEKTFLrXuzDYxvilSxfQt+poXMFHnCyxnlR3uPfPd+9/xrel0mEbAVhjAkii8
HtpJEcqMbQuHjsWi5VU6XlhDp/XfH+WtBYpqLzEzW4RU9WQ66cY1MP74VMhDI+MDYf+zMYFTnXOz
3U+KLf784nHXTN6hoMTdcBpfLfgW1KjQszrNGv3J3uwbe5MmiNx8EHz8pJ+c7npIwnj1UnFAmkp/
PX+Y9OQRBpuYdSwRMjh4qdHKFihJFntLm4sqHHJUCtXR6FyKPnXztYPnjoBOCcjtg2d5Y5JX6Bjp
EHPMzX7yKRc9NuxmASA4g2P3aSE247zNdNQvEeQsg/e/6CmAjIuWRUPmCptwrQacAshKmXcU5iiA
Z1oUJ9OmLBFJ2ovIQgMvgRuEbPuUudGmQK2mOlOpaz1qLXkcxHm9HFbZIKv6qjWLNu2LSbESgCIc
VmeOPgJwiUitPrgEThmnPx/YVG2dOF8FZndKJJpKL4ltVUCoYzOXYTr26oVEVWAHTLzaR268QrFa
sUsQsoVoobQo0cSzo90ZPO7wwYZ4+2mgoHkYuHFlnK4bnF8xc6f5uYlQPGU2hin9yZQxLR8FxP7K
KhPloMqRLlHR0o8t0C1RRtyKhiRTPwjW3zgDVo++fz/LSRqdANPOwP+iYjN1cQh1svBlrH+UTL61
PFkvEFCpVHHenBAB6jlVI1xW4KD2Lb6AnSe+G12bX4xCjY+jIPN7f4W+9VbU+dmS3Mcg5dff/yVI
M+1FxQCUHMuxjBZja3zunLmUH8zduqlO9j9x4Mp2JcniU55sugl8Je4IZB9ASNpnnD6soEX85AV2
80cBxpsvRCYH+8hVdRQQXr/QmDVo1miEMR1ejgEIzj7sRv0POck/twnewXDD14rK7+Db2IkaZKbR
JB3iFEsx1K+HgPwN/d/3v89bM4c1PBc2PYa1pPH6dTpSBhd+JwMhJ7mFV4CDXD06N00SG5/+N0NZ
FGjXcB0myuuhSjEJ8Dh8pGbqmysUNMGW5C4qVHTTZXb/vxgMCDGFPQJ39FBfD2aWMHhsfVW3oaez
HYYeNhHol2AEqLJ9f6i3VgSBH9cqjEXihpPFJ4vatAUAMfIQq7zJ1dS9tN3xI1f1tzYuqhvOWnTi
gjkNbCvkSWhXsu4q0LPqZkAkFbhQKh8S6l7bZojy4P3XemtlUEKEfmai8w+H5/UMGj2a26VNlxAz
GuDES6nedxlYBrKF5IOP9fu7UYOBKOCs9GOPffx6KGkiLi5KzCMnpKF3SdTe1G53BHpn79UuHT94
sTdGcwHur+7ABCfwPE5GGwwFSndXbsBU2scVLHoHiikLE21YrqM2iT6IYn9fH0iiaJ61Biek+frJ
eCmMMhNTd7C9Ths/N9oCdhjnr9v3P9ebo0AdYRuTwtmn55KC7s60tIziNHH+Yo5xh81mkn9wY74x
d2uAhfYgKQe398mXogmATKQLkKsa5/FaQzEdobkqa49mKe1HHRPUH3/8WixBqCowZn82z15/LMMu
0MBPSDQg4JMClPo3JMr/kAjMaUuWYXIscaDTbD2tkOjKEDXVMpI01oYB5TIqFWrWJlat8LjxNOSb
fTCPv38tznXw9fiBo5wA5OL1a7UjSNh5pNeHj9lw7ixZdKEO0pB/fLo7hBS4wRsOpztZ9+th3FLB
1cDDSDMx+jos8/L70uDN0NlZ9KcvZAO1cthOJN5IyZ5uKvxjO2z5kArU2jl9LmulCfM++ajq/3ug
zzBkvMQTHngoWBqvX8hB0KJ1HaRHulwayIhXbmacyVnmxsU4NEjJZcJT8lBtLbTeoAV54w3dVALj
Sms/7MT99hF5mPUIIefnNKHr9/phCnKptC54mBkXBBxbOyM5N1Or/KCk8cYwxPc2C5MD0oZF+XoY
daaNiVkO9t+OdAPPkN8x/4n/ztX+Iyn0i6QQlXe+lvHLAfSbYY7//aX77//6VRf533/pH00hw0EA
CPURVwc4Y7LUWYL/KCOb2l8YbVMrXLtSHsURTsd/aQrpfyEiQjWZmwf1LLLD/5EUcv6iPs9PI4H1
VngAN+0fWOYYP0P4X4NhWPFrWrjS+yiZEHu/Xi9olIx9l0IOtftRkYFDzw9kxdIK/DhqC+YNOKed
q8U9kKxUn77UFE2/0NXOX0any4HeoFm+StNX1pMxpMPLjD8HamSo46FQNDrzN8CPgwzMCTZO0OK+
eJMpyxxvYppwaOl5tfmjp7x+MydeXpxNGMCom1rOQHfz1kXnFYtF+BooAIK6tdzuOgeJjMjhghCT
P/SjVvvpLNEkStJav9SitHiOUv2iAwGY71VzQBtzkCh6baRdRe6mW+bxfrQdxQo1vB6vl0yOUwA8
0zguGZFtkOECTdl75owES1TVx04TxezXjUw/TzJDXMywcYtTVFs0oY4RN0ZbXtRh6Dqq/Rnqoqj7
oaIaQ5iCfQ+hcRL66HdT1N+qiaO86C1m9bAhgHUFTF3zAoNTXGM4MSgbZ7RasOjZEueBJHy/MECj
kpMLj06z3Y7DmWZEhQXevuzvJH66CT7qwHAgiVfmYUzTeQjpwCFnKZy8sY+lPQPAxcYu+4GRKBLF
jWWpAjn/BaW4Ine9XSyi7K6PeucyGZW53TSpW74g61hU2I9obRtgmSafgQug60cVP8r3KZjYp5VT
6G4QrGyjbQznOPITLUq+ck/l2IQpSV7dVPgQEUUbg5OMO1OYrb21hEyMlwz1x6ch0r0OV5ypiAMS
eKQGM88oihilzt4wfLAT+fOA7sqljFfW2aibaeXzQEr9kjvL4pw1hh1Z57BCBqQDHVtieFKmS5fv
W6FFst2o9SwOaEsoywY2ey78ypRNtiUe6sVWQ9+o3tXcQNbOdVLxiCd1VIdrnZiWXjrEoak1jhkU
mofrrVFhyuzrbllTW5iaMQ+M1q4anxS/mK8B+jloZQJnnXxaTT3meqClno0cVl0Qax6ATyErxYA1
O3bSV6o4c1EiVSQ7oGkbYOFeWcWgMahEhQIN533Ty8k8alnRF8CcykLesbnqB2vUVNaCohb15Rij
PeovK5mLvsIAvlOqN4pQ7Cjw9EjbobyFx1syWsO800at0x6qFKvXbZMA4UQSb8QbNOsGedMSR30u
HRgTkGHjzPPzyJ2Kp27x3HyXu+MAUN4j64dYrHJROvrifkbNr6UzmMVNtqtVksxNohTJBXlg1TxF
mTZcxHGBAneB8OXNjKCPAodP4SlLZSjPQOZjRC2lTlQIbyZhMpQ5w36o7u5aqMFnaT3pzzEcSKzi
RuoMMAdYQ3sNFttDXNYaJDLRas9aWiv6Fn/t+ZyDC0ubOGc7hYg0Fl9ZfwVKoHgOfM4UY37qdMYL
J3j/90ptgRu2QPgelB45851o0kX4ZbUANdbzPAvr0SsujDq1LbzBbZQjZxmJMDbG4QHGEo6A+dQ2
SxjrtXVRQNes98hM2vmhB4uq3ngg6OE9LlYH1axLII5gy01b0HT5GnQIRfQYo4Vphtj/ImyOpUvE
6lFl+yNtms5gl1sg+Uu0JzXWez5kW02B0+qnytg+ysltYefhQbOeK6lxLutuRnNdk8qMw8ps4SOy
qttSCNOVK1rZNRwcURt3bmWDgETyQR7mtDAB56qN8dLGHQhhq6xHnFksARMkL031QWRZh4+oHiMq
X8oBhGfZUAWWnWbW+6iK8xuPeubos9u65SIXUj6Pc45pX2ThSGLEAPEnPG43SpL0AlBeJYO8xF9k
M7vtak3WwdPYGEWzAk66BSX0wZA4nWepLvO9kvR4HhkmrIi9QiP+yhxWyOzERrhJIaYOYWvq4qrE
deMFut80cSnUYPKX0VU+TU695hqWkR9p055nhlk4F7k+TnuEHzPlzJl1WfsdPK9PkcfFd07B2ftR
ge9as3FM0rJZ5Cjt4lsuNlUuiuoYs6ziLS0guwiBFKQYHZX4IOy4DyrsSgrAahvPSYfbPMEMZTua
qwdQhfFJHXBMpVMwlcIRfjIXJlbsao+mOlc0AGNlEMVPaLjmk0+AAY5SEX9dqgSmSDE0qxdKrs4h
7i+WfpjJM782PSSLQAJaXmCoDvRlXZyZMTltyp6rFpVu6S/90v+TFfwn1vsl1vspsPJvQY/f4rz/
87X7/muU9/OP/xPh2fZfq0vCT2SRqSMNSI30nwgPT0Q0tlYhIAiNRHNr8PevCM/5CyDSqvblrcKS
9CGI0/+tGqn9RekG4IdBkR7rBWpEfxDi0dsjhPslxCMs0tcG4yomqJvkdScpQTyRCHkYMNBBhbX1
os5aQXzRVhbMMoNUJOeeQBx3wKK0aXBDjrI0vcBbKj9yGPbXuZe3T1FbOlfN4k6bBmDRJ4y40Hyv
VwrY5MVZGizTwFm9AJ/cxk0R7duuwXfZUPoby5sQ1zW93NxpUI4jvGhF0tM/xie8fWzwPX/yagyS
g8JocdbVitIFcm8W3+iuWd+nxOwvYazFeG1NWoK+T5/vFlDh14UzL5kP29S+MDU6VE2iOo5fW4SL
tm3mWyz/XJ+bLCNM4x5s+oX+OA27Y20S8p6r9DTO4Zp1mLtBjsBxND/2YMd+WAjdp9zlkXeV5Va+
Qy+6w9K71YtztMXMQ6G08cHS5D13FL0p0yijR71xo/NusOMjoobeORiAu7TPUizhWpz36nyDEkO/
V5YlvV7oPh2bWUtu27yAQy3ysEFr9rIZCVvNdBSPWE1V+8lNncOsgGtcjdLiB2FVUerjbWkEjt0r
u37K1bumz+E5YQr8QAzeBIucm9Ak3Nnr6JGEU63ExkYMVhQ61YjPgjWVM17YnJcbZep1H17XfNHY
1RI6LnYS7TwuBygaXlhaOeXCRLuFinWkR/0IKxSN6IxoZyAIcmTk6zlRuFb1Gph8GxWC2XJ90p1s
t7YM/DQuKBITLU1bPqW+WVSjOMZ9lZxRGGx9F7uZjafjGa3jQ4u+vY1kW2uLbd+vmDW3N7ZAqyYK
KrV+SPK0+rK4+hAuGB0SDyQEuPa82g/ia1j4KDBFV1Vj3mpVirK2ibJYafldjFsA1af2du7UeMth
Ot0qS+TspdPPPl63mZ/bRXbppO4YDqR1N4xQ3yJAP+EyrMXQWZMxLPum3GfAsPH5GutgZHH1N+Vk
SXcLYaLFg0/kmGo6STFaW8WAaHyMhtWTqLR+GhSNUnqpdRkLPULNP+4qWCs4zlGE9U3yHcPc5i0V
+9WKQyMCx2y+TWrtotGAIMOGW1208EBPuKJkfzun+MKlZ/Bup1y7zuy0OiAmHAeGyOug6VrQM4CD
vkMT5wfFubmFC5KexaRx3+xkae+j0ibVyef50Hlz+lRmcca1bqne9WhFKyudyUroLEOeTxIBRc+t
bwuRNVvwmZjaD3MEeauT9jl2TjmEGMLx58VthjPCPZy9JqO8Lia9uKSNlD/D7vV2gPabL5XeeDvY
bc4FSeWi+hb6ZDuIYMktdlMtqSPC/emmbUV8N0qzPLOXztO3I+ZxgZQooG9clG50+otGHebmYF8i
Kp98muTQ7oXdebx+A3QjRoLWgTaMOD8+XuGCquExG2d7rytRfy2hwUMh8e4Mt2vPdThdGJIlmKkT
ggzts6UW+S1gyt53WkLjye31b5aTzg84dbhYrCaiPTcN7QYlzyQsBzaM7WT6J6QhyltHLPB1BrUO
U9B516oxGI9OvdAoL9TS2IO5sORRm7oBIgYeOTiu02v4kQAnu6MnFF9JkkiMcaAJPoImFNcJLhIT
LFrN+aSaaRKMZdpxcMWN9YBbyq7uWtwXHD2BPphNWQAqUULVVzL4D45Lk3opjXpDMXEcMGzMbHy1
sFm4RPEl4cQs8pupR+9dXWqAt3U8k4sC0Ca1r8yE/lQeIVM/DnodmC3eDamualBFHXLfGB4ONfaK
vmdc4++SxNNCv7rAAD3OevNOj4T3UsJyirYURPoLNZqtT0A1cbxbVPUa38bi05J4xhFSu/kiO0+7
KamBXEyi0H0tmR00LkRvBJNTOT9alcehk9CM1/Ng6aGN4d5FrgnlKcVUqoVUrziXIFtnlP6n8cBZ
ZBQcdPOwdUDu3ExQbzeqO1lnKWvla93aHQxvqMcBj4owTDKkZYZgcWMc1LEZAhN1hA2dwnEjdOeL
avfuDjPIiWg6TXr+yJgOAQa8RqBo+O3pNlwM0F/NPlMsGYjR7r/acojPNW7LzdQa7mUFR0puNPoE
lxouo0d0SOSNQ30DsxoFtzcsj3q/jkDbmHFf3iqeJsIpVdFx6dJ0OPR6rlz3mptRONCN5jsAlHqP
49z8HCEidtFiXGv6DQWAi7yyqot+ruR29ezMfK90YdEWUd/fjxgd4ggCzuIgE1E8RgDFfKvX8gZd
BMfazchH32JkqqK+gT7VoCV56Cp2d8nR05ypTTEhRiDgPnpVJpSAIvDifPXmXrMPXWK7L4kzcMEn
kXopbYdZLfMCnyhE6Kugx1L1BbvXYYdRdxN4mBJcYlqvXOCi0/kqmi/YkHtV9a0ciunBZFPvkoRL
zc9oZD7j8B1Rul8uhsYu91OJg4DU/BKnOCR7SwHPeDSPrapfeTm2fo3EADOJxDHXTOPB8Uaa1YNw
tUckc8EncAs/qVOjfsF5XQ8XMqp7Tr32Mk8j99C48XKtt2SaSTI3vuaU95qdXbbQugMxedZZY6n5
Rdk1/Vakxr6olE+pC1S1X4sE2yKpjmTnBO62djGgnhJM+tBvzdhEWW5gPoPMjsSZmtjlLnbadudY
VYG56KReCElhTbRlTUHMtQ/sYRVMlp7sM7WzjynqNX5OWeQR5THNx8bHDCtbm8+pYtfHUXUBqcEn
201CwZAQffttROvlU5rZXsg15fmzbSzX1IXmqybzksdS4nPsjbL6pGXLqntRiJ2GufW2rLQ5kHaU
b4csso9zVo9XFB7TS8vFGVSzhy37rBv8LMFpQDPuUkMLW8KD2YUv21XJRd1XR7dMwjRftlbUBqN0
9xW1qkQdN2P3uTG+a5RWrhq6CssGGcEJ2bmilljO2gOFKURMbjQ1jx8BU+9mZxaB1NDVh5D4jLGx
vEQchXBHW8YEvrlTKyiQnZsR+j4XMIGjKejoaEJ4L757Tut9N6IBA0Szbxc0wHv+Qtypl71Xp4jx
6BaWEE5/rjeCfTm03V0hGjOQbpzkoIASeyVTRcnLODbLobTwyYgRrWPXzzhXQu17rKElr1oCOMXo
g9zGagbyI5sSinZ4JmyAxGghjsnKF3UtNrUGMjKRKGSolamK5wjiHaOY9OvYSbf1KgeKEwytUtx9
nnCB7UMF89ZNA/v2SIAqP8tBHbcdXrE+yghWGKdD9a1XnQjli365xLHLxnQZJqSGzC48cWEESWUN
gYKVKGFcKryLLl/ibY/B7A3YSqLXMcvxj/LSo6nEAn9k3bv1xnnedSzXA61AwkIgAykc/KPdUVuy
49wOIKrbO3s2lKMKcpY/gnMKwhMyQIZID9JV54fkGz7D6Glnba090VW8K5z4UYnnJWi8Nc5sch2N
KOXMGKS90ez5JjJk67ecKpupQ8EoStCnQnJwvkVIK8b6KksC6EpKKMc635ZK87DIKgqKmC9aVRTl
ZEaZpEjH72BQk1C0aCalpsSThKIgnm0hxXhJpdqNOQzFFb7b9sZJowwZbvuSvYI7mjgYqYRdm4jY
71Hn3kCMBs1jpV8yDCU3phT6Nmv4002Bw4vbqM89rbAmLe/txrtC6KveU7HEOAvz4E0GvDdoVCSm
Ipxm+DUqKgWWcJhaHqN4JlfJ6uFZFVH9fdCGKdtgKaTtBZYjPta7s4/ATxaCbhJ4nZif+8arz+CT
l1sD4OLWQDkHUYmsuK3iePJnoeLXmfV3gxmnl0YJ9aitzZ2jIN9RzuXA78nBF6Zzni6RtRl77UlH
qWIDOD7jUK7uFxQLOlhYm8zWgxkLWXyJQAK0K7hHRBC6vQHxcNrr1COZN01HbB47mNsC5PK2tXB2
QseuQ8HRqo5zn3iH1CPbgt6s7XpDx6csKcwj5jzqNuurMZQgvP2xVzSWu8CUzcn7TzZ0o4NC9RhM
lNw1nUscngzXbuk84AmW+xaqmPgMR2icFdRPf1DGBTnDvekU492w7Fy10oImLsazxsn60Fg5fI19
nYlmDM2lm/YxxZB+SA+2ibFMSaHOduVWLX8obrxRh8t8mWg/x/jjVPCVP3lLlhxQH1QPcL3jcVNO
muCaJ7BDiMPVDz+7Q/8ppfxSStGRrKXA8P8vplzjxPHf//fLy68FlX/+0r+aZiZGHPRIQZHQYf8b
FflPScXAiIPqC3qUjg5DwVh52f8qqdh/wVKH4wjcBf6zDQ7qf0oq7l/UYVZ8CjkoqAe6an9SUoFX
+LqkQhUFnhySwKsPhEfX/KSZS5zspBUxLda3SffQaEX2ucOO/s5EhMpBcbRX+gMQwuihblT7W1yA
AS71lQRpNFF/FjdT/cNpKiyjiYXEVs0cjgKw4hCnOJ+cJKCCv5ibuVkITnLDA903TrqLSM+QXxOC
DGaQgFedgG906ZepquPVeRwNoY0quhotgAh77EClbvhcAkV+FqS6nj9yVwGiQsUJYPR6XQZAbjsZ
REZeXMoaW3vO+LQ00VMi8guaTJmbjVsLipZqlmjEsUTn93ljEflhstp6vjQW6x59P+qlTq5a6oYy
uXprYGCtYbHTVOdpjrzuJeBkfEKcKdU/qzFZ/B7aKOIomD4X13ORym4rIqwDEYSZ9H2LxA++4Wpa
0LevYApeurJvP6mQvReEUCb9q+eWHhovTYstd2NMQVQuAHgJTcVlj9W1+clAE3zZtaWaq3Rf3Aik
q+IaW2TOcvtgr8AdXa3lc6m3CBYsVWtfAHhIX7xWp3VkkLqMgTnyZY6NqM37WuJ/HbSIv6Qbu+uF
DIgyB5RU0PlSfILNCdE5ukSmn3lNean2lWMHXhwVwVQtalhHYtY2orDN59QaEjyMDRSpNjL3ioX7
HWH8wNbWbCpa2knZ0GzTyPdMBNBqNFYw8jSoGwSyN7qbAXs9dVMsVIVXEu/gPjR1HJcMptc/mqpr
iSA7hbjXq1T7CepBPxz0WJbPZB4Dt2aXeodp1nDJGpc5erQVUIObUSFICwHMunBnxzlxuFBmkQUu
6SPLjgtC4utoJSYFuzrX/FRM0eMco4FHMCBi7D2LRrl3epHeRB1cOAwp8We8isVUo74jrCX1YU8I
x1d7jarUnCvmbvCi5qwiO1TCTkVWJsTTDNnDzHHy29k1aR1rMcT7s7l20SpqtJTmSW9kaXdoNaOO
whYd8DLoE1OeOSaxIEXwyfmCq+GSwOJcHCOwmxHBKjMu2slXCxWpuZq2xCO+j/IRl2vjWknQQ6Pp
vaJNRyH6i8xKoyfHreYfEJc9ywfzVTqhF0WG5TdaRmkSv1QURS2vF/d8pJLSJ13hHjbwPNqh5rZF
s6VNHn9WCqXjl2nN3hfkvBMuZXnxyUDxsg2ofnjfFYMm4XbsxHgd0X3l/3FjwHJwENbWLiI126hI
s1zj2bd6lmuec22U6fRUsXGtzYDMGIBoozOM/8femexWjqRZ+lUKvWeAk3EAuntxyXuvZtcslzaE
XJJznmkkje/Uu36DerH6yIisdFdkhXf0roEGcpEBd9dwSRrNzv+dc07r2p4G4kzYM++xsii5ExD0
GN5sNyaXoIBn1fo893aTnikyvrpMmogFFTlE6IvG9ZTO7ltfJfObVXbREMacwt5aaMgnpp2P+szL
mm5BghmxGtj9rdl3043RoR6gTWWGOObAAuQNGtrIgdv3ETI68pdRgztT1OiuE4VbacWpMeysWd3M
/uh+7y3KcTlxVe63alwbPJaas2vInoZ9cWGVZJsYaE9IGdsYnVdxaa3ZbsM5xfIM2qOKoxJFWaJj
AL/O4v2uLEiDXCf0WryQ9Veuc/s2s02XreQ6zudkw2jfWKf8I4snUxm7yq87i2L4vSWK8SG2Z5/V
dQMF8jnyY6I7V4DAR5PVV6aACmfjKtlAA5YcenqLmkuIO0i2JEGuXEK1IQr+hivoNU9EtUEMxdwC
NCgCnQg4WzkHR7Ot77ZsgR/SDYRIaUq8idNIFmGtz8MUTrqVf5jQCe+aEyON1YWFMEIfN62IYs6c
R1fFqXuIJrNZU0qJ+AmSkWHXkbfp4oXUw7boKKSsn/azPrMxHcuG3BHC6sgzZWR/bhVUlQU2caXW
rraLbKa7uGrEjnwopkrkc7dfZ7s9j2b4k0sZY+PcxyO4+Q6Iaq15BwEmULGhFZJm5kjdTzTYtad2
TF5ol0QFTZFYsZ/GtsSiYmFfqc6Q5p1DRrOnOBRxLh4oRzWIl9VlpHEnR/MJmjoVyInfmB/MobUr
3isOF4EcVHmStM10IvQoZiSNV4EnmRM3FcSFKO9Er7sfndIiBcs1RQ9kKzoJwjbCz4GPXnb7gTrT
/iCKpD3h9vG6w9joVOllSo+WoMsi3k4Jrtr9WGQt3CCX9WZahuZWzPNchoXbTvcDS+ijuVhE1yWZ
MTx3TpyetXImrsohEU+EBRrrgz82Hm8sIyI7ImcYPe4wsBiXcV7hi+h1mb669hI9NIWiknYhZPDN
aouu3flZYt9Fuc3nRjDZ+GrGSntnoi/q3/G+v7X7/NJ8VHdD9/ExXL42/339p291w4IMFLmNmP75
X1/Gj26Q3ce/8Rf7fztwwnwd0rr6/G9++hL9/9z+OP6o1xHaT/+xr4Z0UDeSi3H70cvi92/3x9/8
P/3DP7aZ96r5+B//7fWdHt2QutrPtfbEh6wZEH+xA01f5b//rx/3n3/8kz/2n7b+G6MbnHKmx0YE
2Aqu9R/Q1rbJhNeien21pPxYBAe0ZdMOsY70kDixTf1z+2nov608JcH/YIj8Cczy35joOTa73B8n
enSC6S6Yq2u4G6r52dlMeqvmO3TZ09CZpMYp8zDvaulLkuIac9BPYnSjnOZdYT+UfkqNamQ30D0C
yoJcExU5D4Nl9wYSuOZmoC2tVhw0tjRfmEYKJ9ChU94jd+YNV0ak6QbFICL7wBbG/NAq8vdPUuLN
mKIMXqYFyhL9jeFFThyOHIF55HlfG8RDR7oLNZAt3ys999bT73LfiRYYgkRWVe54ZyWkzsKVkIil
ON53vb3U5FNOhH6amTe0J5Kpktgr08tvKuXq3wyRrRGKTW1fleZAkkIepfxzCGTKx2uV2W+atvjv
g+s2MmB8UQHJ9Jp/T5vOsNzDQXdGkBexSZXTgoq/q7y4+spdRvU0h1unOEtG1yR2uEaw3ZdUsqlz
JmkRGbZDEz0vepKvmXMqJohUJM6HtkzJy+h4Q7Sf0QnMHSowG3FUmZQXHjjSk2I8Eu0JYmhzmkPh
KIKkHsQDgaDVtaVqWZyQErvYoZU2bB97OIjbYYC0IAjNRRzRcWNRMl8t+UfG9udOoI85AZ3YvHQi
XYO2n+Icwa/2CT3sppHUtt7LeIFGNlHhhLyZogh1rUCoaeZRfLFEO/LamaLhvSAwHnnYSnLUrKWe
75PU1tnNGohNVNvFpoEiopF6W7bC+pKhB0HFNZHJ7YK00e8IPorf69zGTEbvLRXqaQX8cGjMhbg4
CxLswklbPTmRom67o60x/2UgolHdUuAruXU8RX4YIBUpa6K3yquOOUd8xXkk649e5CE6DkxHTsCL
vBvTbkgD9yfrfdJ1NpzMgaMXfyRHLdQqkMNM8xydCL66kIEGAngn6jlWAfq5YP6pt+aNUfegijTX
fNAxX1UHL1GaR8lWOx550TdHh23lTTMu+ZfWkuWDQhJE7CnZR46mmb8tVJLATXX2xCa6/woH2MxI
vI1rHMrcNB6UaiUqbJ5Od5NvwIkRZlJcmAPDCNBF0/uC4Cv72x7viXnCfUDfsDd1i3uK/1LnpWJy
iXYy9WMNv4TC9qiXgijxpPSo66gV1lnsrD4bbq2aqZuqpiH5UnkWZSwVgX9mUDMcAAfZ8BaVpAVZ
vyv1MlIH4F7iX72gD5XptnTAY0hF0O6gxpI+SDeABnW+f3Vw5n5JrS6Xe7WyNrWxJrHE3krgbDBO
nK5gTr5BOuMG7FBBCbxjbyCPHs9ENy0b4FNssE+7cj8x85P+mP+OA1lzYgT24D1PKy1UrNwQQSEg
RNGGE0l4opt5g4zaDTiSJJnSmayBIQ0bklSsdFK1gUrOBi11G8BEJbH16mgUnOyo05pO/Q12Sjfu
aaIVg0FLEl+rDYyCbuWSwEEBTOF3ZLfEodS6EGi66JEbXuW0fvtkbtAViygAVrXBWAwGAbOIPWfP
JFZey8Owifa1YVzJhnSJle4SG+hVbNBXVuoAYLJze7lntwYYNoOX6zf5Boyhj3r1iS2UuOTM3y77
JVb89drx5KOWK63fqyGPLxGdkYDrriqhA4oi21crqzZs2FrXM9Y+OivNxnwQsE1tjBv5OSY6aLF8
zVYGruiKkjDY38m4FZJzN2CuaxJ1kTCXtA52D1FX445qd+bK2dkbcic5AuvEyq8oXrZSeaqIo/O+
Mbp7Pdayu6yg12U3byifqCOwvmoj/PwS2G/ZwD9RufNNnGjggIRXy0tr9JqGIR68YO1NoIOZXrXZ
sd+QwjFL/RdnAw2XDTosNgDRTqz+ZMia1g1FPc13YuShoVDeBglJUhc12TSUzvjWb/MgA2Tr7iTR
FUdhcpkxjjo8GsCNrdoPa0A4efUAL7Y3hcaWHR57mp3vCR+zhtAUuU4av7KmfreUMr3M7DziCC0X
owv5yYevw5gyuolRp17U0Nn4otekct2LimvXUdkY6tEYm9RQEGWuG/OZVi2rykooMVXl7D/jUEAR
8uKCASAImUaJr9IpyUTf4tFpLyYqHcuKv6apu+l1LN20g0bt5NlYSpfSymRdthHtqfdYpOJwTIQB
DQo0CNFRPy4Rcu8oWD5ggmvxzP3vF2cZBOONzJj27gbgBN7TaaRYpGbFKCCjbykQLS3NRyossiQY
t/D3pXc5aw2JMeW0m5If6EwcEfdsinmAmsQSH/Sg9ua+cWamVXrlljGKD8nympTjc+5XINdkq/Nh
1W1dFAdTFnVxJD46uexjueYHM0J9supSlzuOGVwptWXXc+Zt83BuqAfnwSVAzPTAMAOiQpmWNnJy
cxjYCXOG202GAXRYjst+zeYZAm+dXO/JbV/uAch5cfqcZmnsJjD1kcvIjMfNfeOJ7tzBC7suT5nW
5rrzAZWJt9tN7l0an19Y+gnjL+1UvnVbRL/nFf09xAqScMs0FuVlC/SHPiLcP5dme47DM7OYsazx
/8VWBQAS7t8bk0tBgLGVBWSrbhnEa4cAeUHUCfRbs4DONCbAzuHdpHU9tXvyvNkIyd8rCYSV8g5n
Xv5E2DxrDTEfAN6gPGIIqqbj3aaSWWm7ejB0+tm38gOLhNvnWuk2odxbPQKxvH0b1lNMbYLfNxMj
2iKqfVCWMutDb6tZEH2D4J5t9QuTw2cZoOVl17ofd4fYYYUPx3lrbKBiFEhZahlzDzGyyJBAO4rQ
Xsse+sgkKdvjY51DjrfsC4hLGp6StSRiTKL6utiaI2Yh9fseJHkOHI5xTdg6rbwCG1FroAgTXd6r
w3AO7gSUKUSsnxLiD3NjaM4YzmtzRZxMdR0kVIE2EPQt5Raz3bNEEioz3TS5ziyVzIbOO3e6xh+C
3qvRZdiesZ/y1uYMseC3AEZdCzX4mZqF92+9DJwFjfGmIm9QCxr2tTFVHItz5s1dUwAnrWUdhT7J
KJQxHR4mh2M/MMyJqM3OoeVjMWoiaq10bATYUdrOe33tBJlkXl3kMws+r5cmO8v5jiuI0uf+jjL4
4mXRWGzZWSnO5ihx5NdvFSRNyYq0I1td/6Y01ygDufaVJGNMPkI7dM1tD58f79HSmDxZDE4EnDSd
J5WuMhpGZlhZxDyPoZjXq+lCxx+ODNfW5lGXa3uKmbsZM0mTTphgqD16oxdobGayzpK/WSwpr+U4
jvbRInWe/D6vmby9htTGbbKWt1RlJjAyJejwIW+39nLYml66rfWlWwtgiOukCybq1l4YPFGA5MnW
F4PB1j7OW4tMsjXKCGNtl4HFZ3OcJaI9zbf+GQ1H9anWjROtNHReVryHKKsZ00HqB0vAUZGaaK5V
P3CvQU0NDNMdDBEvRGxTe4OfayxAp6NyCFLoDvNIZgZ4hUOM/8BPvFCf465RuZARxvfeMdnjO3NE
kiyPaRztie22GZkl0WDvvGil+md3bE24dR8cY4zTaW9x6/D8o3LQy+JJiXBMgNY3F39KHErCkHtY
RKP8JtDpmp1uZ+ZDDTQP5uJOrr0baGti52eXFj8J2ld7ZnDrdUFSadgg6rJdJ+u275NdouEQLiY2
KCwiVP1x/RweLi0BCwINiLujGQ+us6trz9bCjFwS3ohp61g30qkVF5MJHNN5WWHDMPUjW80hO/z/
udZnVYG8lb8UFXavSfppprX+g3+MtNzfLLzsZJExuiIxw2Ng9E9JQTDTwt1Jqh3xNWuW7j9GWt5v
AmlC6Aa7Jbz9+prv9J+UMDMthlpswRl4Ydwh8fdvaAqrFfcHRlgQpodZgaZJbOcES5grQ/xD8gJI
3+wn1AEgq5FUtcyN94AWySTdzpK7H8SW69+/6I9liJ8cir9/K7zNTOHAkckj+flbWZGb5hWW5p1D
aQJ7oNQOZaEZf88HuX0Xk5iv9ZcxcYt/8n4uNedOs6KNnughei2surmwKBr5Rfjb5xzo378N1C2o
Noy1Iz59bibgLVlsGmLfKLqTbMaPMqSuvBIyFseEmIR9FjOWGzyzYeQz4NwYpYQfztBPctX+ylj7
ry4jE1MSbX+39K3C0Q+XMfUqcxhqhWNOzSBx9mqp093qwDAt+0W33RaT8fmWgcUxuXEIgsQ5/PP3
sumoyFZLBaJody9z1u+6to4LJjEnFSei7l5kOr1IIzpN7egOQOXrTJoh6ucehvu0tbNfpVN89vuu
F8PRCZXjOTMxZn+OnnWI1c5tj04Onf4J66Os+jk/y5JWEsWfJT18UdtW+SFPl9K8NWYzfaMIXqv3
SBeGuf/bd7lDXywzbKzOPL+frkRLFWWi1hsjGRztNOeSXWAMlr94lv7F9f7pu7A+/Hi9MdCYMssi
UGjP7LDJ1HUYkywatgldMf83vxAAH+ZOAiU+X+6OUP6oKnig5BInB9OfNdSe+lfB6v9icWCyooO/
sg0hn+WTV8GPGdstGaeYpM6yl4m54BX7Iuf2r3+X9at8unWxR1O5TnKeIBTwU7gISZ5xM67wXp6C
rCPMJewI1w1VDBpyodNGdGHKpjmzxmx8+PvfGmxAx42BWIcV/OcrhhWwMqbSJ/QfbetyNsT0OseG
dgo1JK5LzR/2pes41/Se/yrz+s8frYfAxLNhMPtBi/60VCHqOkLrMkVyqt1eZnlVn1Cu96sYrz9/
tOjc66XTPeoQN+vyj3dkorejozcYDaTZ3OqOeB1t737dSTMsRnqJhxPX7n6Rl7qu5T9fTuyrpknB
LpE0K5bx82c6JvoUtwPjKD+aCdv3DDn0l36zkBHVUPniwEQVzMoML5Uuw96c0xokgJ89/vWlZSzw
px9jTUnC0cMLgXC4n38MEloTn7JZwvcdfgprjnATNkm7L5jVo3x1vwqi+JTnx3JHHb1vM4agosEk
1/Ln76eMJbJjTk4wDkkSmHOZPRVxHB2UoL0JaaQ5wdjgn/z1L/nnFWfNnMM8SCIUd9Hn8KRksbN+
iYgKA8TUOCjWWpjbvX9oMiV/seL8q8+TY73HrAOvO1b5n38/a5ILpUSQY/Ni5TL0Eru6ZaqQ63tI
xqo8gLMazi9+vT89JOzP6GbgdQb0Qyrk54eEKhvy8Kg4FLOPS6/z2n2TO78KRvl85XhhcsW4ZnyC
pud8zr/1zMIo9YaoThlF+i1jcbrGYnmqLBfwFq3tdqx/lUSFiv7p9ly/KXcLqVpsFln4Pn2cxqhK
ZVt0WJoT7uIzjC9424NuZMH4KGH+p6uBGd4MZe01hES2Q9FGp+RjFv59FqmyvOyzPjNuiVbJ9TAG
NN6sr8lwVyQDh+tZlThYFHJH9ewhpKFH+UjJ2skM/Tyd1+YcESVbSHd6oeeb5NLdIO18uQb8dVYc
noFJ+6H1vuotINu+8S/9eoBC7AjKMM7yeLA4gjujbiFJx3pfHXpOUEyDQWlb83y0/aq9NF0w08uk
rstmL0sm3AH4Cb9kai15c1LL1d5VeEkVoIMJzlaDqZmwri0fSkXuJ7u4zpyGaybQrXpuEupfznI/
tYc97Q6RuqBpSMZ31thj76cpCYbVlK1mUaaVEGArYi1pgj6Pp1fhI10F+oqigG+ZyzP4BvBzNSW2
2nuubKt9C8aj7wErgYVKL46qDsaiWR6lyWLGkXAE0/RTV6NztUlb62RBKn8UXbFMR3PiALuTdKV/
8zWnwcJBBc6XmsQ74him1r0YlnRmFE26SRwsmia9c39ZkpclFa6+9/Ab2QFVJSK/NZkfDd/YBPU0
OGVyTqZbo85zv923qpACm3drK/Vc2aVDbrqf5lGDOUMmp9ZszfJqmrCY71Sl2uexaygz4wxavkx4
597zhGSHXYL0b4QYpMEYsA7JN0brEJ8aDrecBIglts8XvCzdLitscTULr2dKaTHy0ciBW9Z+Sru5
TCIqRbE9K+1QZRY+NsTbSsPsZIBVz17nxvi3Ned702O83SXSIJyfwnX5qs+df2cb2B2B6IGrw0SU
hBb2k836yPCNvuB6KhacX3qZHd0KMIY3SBa9pXOPjYx8IleGZdNFL1k7WMtZ0UfDAx+kBQHdpbkR
RmOjPU4cZ+6KwU65XqVtPQFD4PWRKsU6kzLDemyjaKiDWZf5YwxUnhyWpSIkejCRES6wY01XesmS
DZA8ukf6mxh/xqVRPDiJGItgoMbxKhKdT58MGCUtB1BS+r6vnI7tS64l9X7oNXoJrSlWd3ROUtNm
NvFwT8ED4QNU+80RqH23PLWpW3/UYz+WIW8Wp97PwHIgr76wHqcmH6D3Kr08Zbomxh1Oaj7GzF/8
y6btrDJwGm7qXWHMFauWnrpny9go6lpJ96BQqehZoA1OYUg5QkeT8I2Zu3F1hXYnteGxnjRNLfBy
EJWgdnaR+++eRrleKBPLaPYVjnRactbUWzIIlH2ZIez4ey2lPJdBdlsvO7uEOwxh09pnS2v9r57W
Fd1eK7t02k29ZXR7ptxuFVDTsqqZliof+nRBnI57oQ87ErrbDu+koAXed1BieYCQAzmZpZO9yypv
mg40Fc7JTqe1llYC4BzGW8wm60tDk/MjoF71pcRpyvuIFinUaNeSBe6BcrB2cxKhBDZehcFFyWV6
j1uDxkARWdlu4scCJcya/rHk5jGOWq+4z1NjXOjCNbPyRNXAm3vcWeI7NhpG6INHdyxexpZUidIn
DowthVXhX0obbnGHkRSQFENaZDF/ScobVadi2Bm9MWbhFJmkGWEyBKBJKmcc9oqUjBIb12AQMGCh
m+8h+8Ur3VVpcqoTijQHnN7mx3asUUalOeJlSYxxvCz8CXcJqrhog4aB9CMgvPZkDlWO7YWxWBzO
i0xH7m0fR6PKsMoE1D8vIPdMS67NaLQZeEgdwTB1iheN3P4LFeGAClptjHVmF0ntIZMxfp6QKT+m
sfcup77EPa/4TMKyFFybmpBUCPoUkXtklzzvKwaoV570KNfSM4uuMOJOYFR7gmy+8mlQ2+KmDndC
MeleE9YZNtlwTbJvcYLEktGIH+k+Ln3eFaiSZV/sPaVGRHWzgiZQKqO+UdMiEZ/46yS65wnsacal
T/LKz4byyt7G1o7r1xbDiE7cYl5isG2LiiF3JOOmO7aLppITPdKH5qJdZ+KOaK3iQPcgo/K6KJHH
+3WCLv3Z7HdtXDFY9/psHeAPa56w4XaGAZ8w84Ij0iWiqplV9B43WTodhK+SZEe+xfCeWYLO5Hod
7lO6hwBfbzN/qRdaGqI5rP1jGxdQ60PClKmWPvXFEnLAswQOXmdaiYJ8hQsMM8s/jI04qDf6QG4k
ApF66pZCTPiEyXKVHdobt4DoXV2nK8zALV9T2LkxDi1ZBNGex657MjcKgkBKiAj1Ox2xkRKxDjSR
ZAprt2tojBaGAT+vtLvECOF4hTofGdaL/dB0oBhDZNrFmfQVOTi8JauvZueQqpptEMeyAR31Bneo
lfNgLSrBAxxK7IJoJUHiQbfekAzAQzz24/mK6kFXdgBEV+wdgEk6s9e/gVbnN9z21GUTKdO3Jwhh
rMJaNaj6pMM/KRHTM+4NUnCTW2wr4Cv9hrKYaAn3nQ+Ehgy0fE/t9Qla4j4xjp2pCKJLsGXFIT9Q
f8PsG1zGEa5JFWLtgNEMK1GDk8e3D5CMNN5SWAl0k0NvvHsbihMXUDmmLKPiMFoVsE6/gTuuMcPw
lA04j1zNRmQ0zxPsuN7bD3HHFjmoVw5onJu4Dnn1eVeY3GPjNIZMyQjiQQd2NkV4E4c5WgCAbpJx
vsnHzSYlW5usTBMXy7m9yc3jJj3nmwztRAnth/mqTuM4ocm7Fqo6w7mzpvhsUra3ydrpJnHLTe5W
m/TdbDJ4r0/mg7OJ482qk2Ohz5ggtzEfl93k5eNS1eQiNyOlfPtWx7rDctBSIJhQH998KZG1THxY
sHmhpfd5+8rXKue939lOGgp9Hgld0WOjPHSd4fMlq6L6NmsmsrzbWwJLUy0nI5Q6mcFALmTZDk9L
p/iIItrjjpOTyNd2ctW9kqtpt6Pumb7GTvrxZbsk1XQcLZxO561garCnpjd2znQEpXdmDXYSdPai
P/sYZxmrxLUKRi2y9SATBkPfhUsNp+8xiO/nMiajIHebc1lXzne/5lB1YhAYlIbkLGF97POeAx1+
/OVr3VjWxeyI5rpuXBJ4mmYm7wiWsaATc6TfPZymvNnrJUhmWFll0ux7fuwXQmh883xIhvScsvXu
PJ1Llm+38HB98k422DNGg/eFQ/sUmH5vnpBsAq0/W5X5kHZxzvC/c9Ovmd1MN7XDAoZSMupvC2Uv
TLK00XtdDJWwp+hz69FTSNthP8zjFDq6CXdqYDa7sWRUTaRSTe65M8bJfV+xY96pdunOgYSwF2rN
0u+XcQJVTsnEwwBND7MZRLzFTvGuxXcpLtWPCFvFbTIW7g1lwsZd542MgabJpkMznUeuTzW4X6My
ts6q0Rg+sqJmODNMmc3GhSioK43QP3tndgJYBYdhct8m/viIG7d6ScEzhsNaCMCkKqaGk2Ukdi75
HdIXqWb7yZ01IPRWnxbz6JiEFh2V79V3qp1Sb+VCWvLzcQpAlMeMcTwm4GG/NJ6Gew+LPGZj8TIx
cv5AdapfTaf1xBeDn5/VMtLqIsRT25+mBEJNZ3M5DzcjC10VREmTvAjcU7hASjO9XdhgMOgqU175
QlP3tqfH/FGmTDjrhkpJftsBM3PKliO+mkx9xIKXJQo5oNUFxiiQDqZGgC0YeycOJaFWatO9b3fz
1aQMUk5L2+QoY1c+5xF2Y+5Nn+LQIGo10psgzmFC1to9JoiZQ5DC3sojWjajaATprnOIebKe2sjk
72vtt7SYem038Ddfqfu0znu/Sz+ycVR+qM0JQ+R+WuhtF1VC0QJFEoQKOL7Z3dW8AoudIaz+vaTl
90lqPWcLh5xgvsTQ2keOPxqoF2L37SBI/A9KOZnk7uTVBB6Y+QxJZazrt2k62ktguVmDHWHUbTwN
dVIQNTlm9Z5uctpLvahm55T2vQ0LgX/sjrbG/Na2kvmj7U3v0irLzIWYacfHskllFOhJVd7KvOOz
koUfr8NH0wU51jyP8A+fO0vXEH2I76FimA0YczdN2tQjyzFls2Ow04RSNJP2otTd4mkgV4W5otWX
34zVLLAru859tVSir06GmCtad7UFe2hQsJSwzXHDKS8MNodSYE/QdAGV3Daz6MOhaS1kPZE94spg
EQTyaFwSldJpOHB3V1cjcWlUczNyskOy0dRx9qKIKlyIiLuCp/mMnRqFxJrp8ON27AHicBKqoA2j
4HNtejnexh6F9Ic5z3tMEWnqXHJuTd46p+ufxn4NUM7HqCI3ym6blgY9c+Q1qxXc5Fg4OnwqWvGi
/Hxh95K6BKEtGPHfixF3c0DQW5GxV+9IoUnWSvN9aRfxfNZlxPPv07iu39pO2JAHhQEYWDoWv34b
R+NN3qqKanBj3YnqDGNech7HdJ9WjvrGV15erazo/B2FwaTDT3pBDFvWaH1xpPM4rwPah7z4Swqa
yEbKHEhwBbXpiBgsnfS+8TiDhnNcdsQI2Cln9EGt+fmCAzB7Bab0BzEydz5MeTy6UE+De2Yjd4wX
ztxGnEZLwC1WcdsxTjLNJegutn2qmIfZfdeI8esw2Oj5jUPyDae+ubKevd7UvJPWbt0x6JcEXlNg
0T5Tben4OysvKRuuQBriQCumMj8DrhIusT3Sc/ZEpsQPcd/MOCVGfBlekkujOwytzFLqdxdl4eKd
U8VjP2Q9lg3qepuYZIHMe8Yj6z2RJNN9tbq6uDVku+QBwjjnpFymhD9SD59MQZL67ftkTuwG046E
uiBZKscLKsXWf3VOER6rsso660YPW4KA51O72tcdtuFzB0079VMP5eKPt9Tea7f+kDKJ7/qeY1fS
+81XR9nqQ2hgrxyyJvPJImoAAtZ2i2spU9Ht40ph2529eBR74tfqj2pJbWiDFqVoGBfAqcJR45fc
MCZy2DiVUYS9LNrV0BBwQZIyWQMmZ6x5J4iegXBE0qkOPD4Zb6221ypyyGyqletZs+Oj4y862RhY
Y03aTc2EAi7NjJ+wBhKmtDCCg5VGu1Ikreg+wgLvbCPgILnuIO1IE3Qz04l74D3nzDtQBrM8GjTL
vCu6rjkXDi5MXdebdI+nY/ZNgPBlHEssMG7yL9J+lzjRq0Zh98MUcU26maPRThk1EWvjOMENLQcI
1qnALTgBDxEs6XenTtxhn1JoORLBKxnPITkJ8eUg1b3hoY9eLZEtNzzQJuXxVudAoHgwje7Y+c+Y
VzqF9mT2QNpw4t91pndP+EmAtofUisiGqEnuKeg54O1dekaIB1Gy+R8m3m4RqndoO353qToes1Xf
4djvCb16LP1iep4J9Oh2dj8QOhJN1Qh4Uw3LaZPU5WvB/uQ6x4WDZkSpl02GhWldeVGat4RlzlaE
baMamsMAMEwaZ57FQDm8iy/sYZRxFZgJ86TsMJVERm16999yTVwyCKz7+vvw2f3wk3/i/13HBH1N
jE3Qi/9rz8RtXb3/+/+ufkYc/vPf/UE5CP+3NXR4bXBh/Mz/RV3/g3IgJo25EJ4JXVC4sPaC/pNy
cH8jGo1iWbwR68SUNLQfKAfrN/5sdVUIMtEg+Y2/QzkYrvnJuUsXHMgEI0bWDf5nfR7SeMPYVYtl
5uHQTu8F6/vpEg/dfkqtjKBRdzZAobCRnThLc24XprUvR4PoLKHLoKKh5DkX5XhRjzIlacidiUG0
k/E0rhJxpnfrO2Vu3yEipYcycOoXc3nMffWlQFc6T5qsPKpIvoolvooBtAb3Ec1yhy/w2mH3VyNC
+jxYI1xuOylOBxNmOf9JXwx3x6bqqVfZhWiSt9k9kWwsk8W6pirnRA7iBmpjT6dZ4EnozOXKmMyv
qZfuRZsf29w7I6bpbVAkEkTyEjvVDv6Z0VR/bc7zGpCLkz7ApLFb7IUwnOwMhDzs7G+gUMcMyFJU
3hr3weay6Y9EiOwHEs7TjLm+ieAzmI7/Cus3giZqOq/Z6CjbNzNeHjNe5iHb/6+E9hin7bA8LXpZ
HNKuJY5tPI7rsHqMx5BAl+6UyvP8OMZqr/fuxZx0Z3hl70jTuS5TZ63eMe9cDc+ww5GsN7LAInfC
ifkRpssc9NQhrIuQVWHLA3DYKSttyPw2bJwHVQK3EZ2lXcAUh61dHwcWRtdYd4s31hg9E9qMQZUD
VzPC+MvxgRbrPsiiToWGhU/SiPE5q2W80ejPna6atkkRENqWddKnwL3iFsgfLSGe0bjIgF2MG4Iv
5hfI0i5opMItIC4Uyak7XD0s8ksyvRE/8ZqY5DC1sXg1dEeFlGabu9IwnGM7m+Aig5hDbygmIlvb
6hZ579aJD8I5zapphWHrszhK1s126XQXjVVOt/5oWfdtGuEa7Wb1FPeWOvHR0Ih3Ugf0zvlQ4FgP
oEkNRhdzRLNAdB45BbnBjpWeC4SDRp++Wq03XXV2n556iZuf6dWQhX3R3gPzkbvD357SlAThRScz
Zs73iWZ96cR80mEoZVB3YU5zt8PwTJBHHRVXZLqzj8+y05xcu73dGC+MZL83WlWdDRUWPlPlD0Jr
r+qIcR7s6OgelLbU9545B5E+I62zi+TQXB5qQk+DfCpPCQZcDqbW2Jf0/Owy4lmGNrtExA1g7jjT
CGKFp/jojexYW6QIl1OuHOwQS+lJP11oFYqzBddklP1w7eT5BxOAJ/ojUAikpkKy565UlgYcro+6
Nh5c623EMitcNHS9v7TMuj92RCkinNknwJx3QnmvPfu422rosAl9LNP43ClT21lJetr07fE/2DuP
JLmxbNtOpSaANGjgdh1wHR5asgOLIIPQWlwAc3qj+BP7C87KZ5GR+RhW/eplknSHQ11xzt5rt+7C
lbLwY/Xqwi+mHP+oxl34Y2Z/eRmxpqQAaronMoxVgxPAjwpXNOl3OY9peQ+3h6LV+MNCsB1QKnT1
Z7rrd6Pgwjhe1usspUXwxAdYeDlwQGYWsJrDjo+6S4OJGcQcDwCEt3tnYFdFlWU1V7uA9pqNLJ3H
o/eaqlgTHj4LSnw8LquCLgJQlLfZTe8gFaUIWvEbNeIZkpHK71Ctm1p1wfiUeuwRVllRtKQhLHrn
NLEExboDRsSK8mpj963cmZWd3+az/Y2B1LMpVwbBN+qwmyi1PbBt+yD43vWDB36t9WstQasNa5W5
3gQ6MrcIaev5UDnazshZi8Yqtdwu3MvgSpPPCavbYdA2alZd0JvMVnUifrQTHnt5CDKJFItkKvxS
q4i9pWq9AfC9RN267ZtsG7NlzUFNgfLZKFG/lbV6aLV6KwjfGvWZLcdVNpg+poeb2MEPnpbyQPNx
T6t0viuH+lSMr0ABLvJpuNRE+Txm+k2UzwcnPkcVHgtJtHeQ5D0Bx9CYHStGwxrfIhxmlHCUli1M
7Ph4fQEhyGwDyuc+KiuMzBpydae+cqviLk/EQXWBD8A9hDsD0qW+pioWegY4xDRzdqAHHwM52d4w
Je8xLZyOQsKe/vaDHrp3I0iwVNjVibx4tse6TAG9AQW2eiS3zswTmzsy2UVOdtPl9jWr2G3ddpjb
0+TKyMwLNO8Qgp7cOfA0pX0NR7mtrfkSMPd9WGoHwAYKVe/x3lEYy+yhvVVRu66ENrz1LSbwUPwc
2+CYp/Ml0OFbK6CNEExFQeCro20T5aAtvyADLJ30BC9Hjb5NMhomfPidcvWl1Cx6WQ5c0TGdfDuy
V60K6maMYp98+Hu2s4jlc3ZG26AajlZo8MANb/NUd8Q75NdY7Sbf4YXY6IX5VMQUy+zyASVJuXZN
F68fafZaemN18dbon2JGUa9Htbw3muZ6mvp9I5N1gNR2GN+FTGLqz+zt4+Siy13GAGTHaJEPVTQc
bGoeK/bIRxQxV3FCGS1gIR8b0jj2mLYqN7rp2ylcmXO1IPXei3beC6u2ToVSWTttsu4jDF19al0J
mrWQrsD62fQWNFUe6AAfOiECQlhzr9KrY1cHj0BrNtrk7EuoxPWMFXzJnNWcHYVksXaDoT1GKqOz
UsXjBWqObm135rMRVNaN23TswkTtmSLnPZ03eTiuszi4J5rqNpllfakT6wk5sKdVn2xVdXzTw/Zx
KILrKUi/pTzNxvAuROypLJj8sJ9OeruYAuLqkr51R7UnKCFA4COZ0A3uOLHcVxp2820cvbe6fMmc
ubnU89qhYdke0GLQ5pLGPswy8dhD3EFqD6XRjDdOiWQx1xXHG8qRoj2ChmwtO2grQiKiNgD5GfqJ
JulGdhg40cEZW7OonSNtkH1VspFpqv6pFvRR6M4h7Y4ISrxNyuAE3M/a1BUXcUxdd8Pjrq4Hhymk
NL/ztkAZybJLK++gxI32HnTksc+zzEf01O4xB4mn2HFeWyTjhVQqL1Xw62XGXd6nJ/Kcy1dqYu7J
olu47Jm3o6H6jWoMcJVyvJeMaTbOMSJW+oXk4eYX0nEVzym1n31IWSZTi7WL1g6brnFU5vQODopn
TMF4pRf1fZeDHRwzWpCd2w86EHoSR/p7fH2nBvAMW1nIRj0IkjA5DolrIEHQxAUMa3etkj3iS00h
M1uwggeDrQFjHB9CZwqu8Je8xkqf+DH0fLrDndy0YZQcQ6t01yZSIDqPgcEDw19QTxQrM62Xr2zc
7bnsj2QE00g94iUN+YSaBMt1ISEBdg3/1aAqkTOFxrS36ju1GcCA62N000IOu0BI0jzTVHJ//ePS
7cFu22NxSKfB3bqiFxcpwH726kllvKQuhO4WSf/6bHpFq/DDsMP1GMQsfk2WXFzFbEsHmmMvh3V7
fqML0+oiRfHmt03e7ac2MGCYNe8Sb2QKmoVvk1k03tf4nKHaarFzIk2h9hhFbkSqenGdH8IZp2ro
VJf9JHbdeN0E8yqNILnPINB8hWAZY2FtjdK0DwYefh+7FKNbDDFS05rrRskfIkc8KrKreVQoN+SN
Spsc+ZYv5vKbqpeQ3EieKam1lFO4ldBX1drY43tRfZpwcuNqmUqls7lT7PTKVaqDcPRtZS5Tvag1
H2vSZSWSzWw269iyNiMxEt4s0pdWVreKaQ34qTR5hMUeb1KYJTt6jiHGPv1uNo2bzGiStaOMd4kK
FDcicS0Pb+jqX9gE4PqiL4KjNbYzqyAx+zOwnu9q7vQ79mzfnGB0fCiR4ognuyDgCf6hYwfv6Exg
DiXjydHEoo7J+zsSlYZNxkJzmwP126souE7BnOV3tKzeeJKoPzvAbKWMLb8PbMmKKuxOpa71fkUy
5yGpmh2BcXD/CeWt1WAZd0NWBg55aoRy8bS4qQ8vMN7qbbSdQ+pmHb2UwWmd9VhbnW/FUJ9HVbF8
6HoZPEyyytxvTmK+JQVz/OiEswch+YdLH/kHWco0aow2uKTeI27wzM2Xbt1LWvIBd8IydmlUh16r
RZUf5RPdigbwhhVEnipNcZlZFo31Emcao6O8ArQMrjqPYw/EsonOS8+FX+ahcwEZ8JSFmrmLqdRf
E9jgbJRAyza/XlmUOLdpzpyDybDby87NtmHZ8Wc2L3moFuqu6XteD6Na3veGZxlu3QgfSbDuziCc
hLoNIbCFDL8xaYVcge5ZxAXz8vHMZuXZWu5Jnyc9WwcgrZATwhK/NIcmuy1zuvLnESIl05z3VWn3
6Sw5Wgv+0ieQkB/T5+66pLrWM6nE471JdkHqmWO59JtHxhZp6C+uInnJZ2XetU1b36VyMh/SWiAb
SwszPjqjaT6A1K0OyEvGXUFRlGtrVd5g8I2GldeHroyiW5lNhu/OVX3XOvQcVypL7cYz5RBcmcMc
PZmt5IUO6zp64jltnqWas4T5NZSlksKtSaztIUwN2uAqKhzfMGDZnoer0Om5Kr9+IpUMmmdl3zyn
ZdztE9GEP8I55DeBLDLWJHyzEshmalOtftYflKr50Dsd7ew87t3XMmEMowdsPqgx4yzZFAuoUuZ5
ZpB/sAyGVTu+ydoxvDIU2TbVIyz6bjlFN6oKgD2E9ndPojL/BS492J5HUTrk/GE28H2prPj3vz6l
1oywZQ0eldE6oepbOoNyRNbFeVp8TWp3fKKC6cPpspVqeOS5N8Vdkccly/FSfQHPWW5lpSkEXUPc
hCRU5Co7giTAKZ/z72VNBB0aKjzFq6HIRblpoBv5KKxltWvblPwIHTu4Z/aGfsFa2ERMVQpYVnQq
2dMzdumZcK/tSGMyJmdOWY/NCHMw4TodDSlaPGy9Mp8qglXvLKrNVCiwYPkzUpEdhdtIWzkhpCD0
Aeq3GSPXYRoMZY1Luj+oszGuE4STKIyC1LkpUSJAH4Wu9WxVMxI2yc6K9D6AX882BNFHJ0Ld00yx
wrheymVTPzvOvjGU+KpP1BJWfW10L+irKqqQRTcedAcZH690UuyQUjj9rZBmNG1z8gDvaxzefsg/
87UObzPMYkO8O8Yk37RuEgdUlZGH3fuFgsZ8HVO19Vsid3Iv49Y81fPQkKySOLcy0tXEQ1oWbZsy
CfdBqJsW8j/VOHa55p4qmlDxuoISbq1dmqnoa9wA7rFTKTv00MkFWqaGWJVaV/aIK43FXttY27zv
s0fabZoHALU/aW3l0jAIgy1BM1VHm73PatZ5Cjt6bZl/1BRSPbq/HR368UFLKvGGFp/1N85lcXCd
GB5El/aI19n/RPoGp3970GQjr3jpx7sAyffjAJ0K3aA+Uv5aQHNQxmH7I2GIvKopNfb8hXJAFVZa
i48+vJwpzx9KKk8H9JDuNc/cdJpGopo09vzIsKYcNHSgq0XuJ61K4SOO1ce+rC254vTkoUCvZq6H
pAluzB6kQjgMVK1QgAInzbMBZ8REy8I2x+rkDKm7cXqjallJa8mJjg9IAjhfcHlVah7ItYGdPvC/
IYy5zHjG4de0voEVGzlGC5LaADr4lGbCvufxtE+1U2LzBUm0BRnm3ORpUh+kqk13vSsmHZncUO0N
GVVPgV64j0o0iB9LcZLaYG3YyDUyLYIHi5USmWoQvRVJw3aDRlSNyqbJqvvKQLh3MKxaOfVunBOH
rbXtWzAW6cVEF8wbKCisSRIp31Aj1N48yfiUnen0dTjXxttAE+LQMZp5xtzoew1R8IbkYrFxW7s8
YXN33h0N8c4o2DqLqeAeFBKLUtKno2eqrrgNEBPv2jEUVxKMA2OmmRwM02UL6arBClatnqz0Ks9J
Z5COel3bS8dyQBK0Y2tAOIK0s0vKgis0D55KxMqFlYWvtPnHCx4ueyfSoMOs2Imtk5BmRNPULi/w
e3ZeSOggdlqDhdDkxB5C7fhYKmMDMU9TroOMHRHddXls0RCRlNPBJdN1lHSqdPd5/WSBcn3m0i+a
jTI7kUyKAX8GAAjSd1bWvZs5ByKktR2ttDddYa1TdbiyR23I9zLXEQJHo3MjzZiGY62anc8kVl0E
ETbTRpZyHTnI0jOrgCxFXNbdHEwsX7NgPNqOi+5QM3VfQyh7KyWt4B4CM9vHCdtBKQIqBKGl3qC5
GC6gy9DNKMM3mWTptRrr5GtYAQuRYTayyzgy2Qgs/UAvCIDCkFPDzWoamk8RA+iqm6kidPoUMEPp
im+lUtlls1KsVTUZdzXNtitLxrk/O8X8o24anRSlUB4sy9RJwuoVv9WFcopbrf0JJTCJYAaMJS9I
JZ9qOQO3oihtV0mCU3kpelbGFL66IPVO+ciYhcxIXFmBi6gwSPNmn+GfhnYddzsGBCSRedAbRzpy
cbXVbYbqY8nu9FvWOlnuoY2PryFS59UW8Wr0lqRufDThDfZ+EZFywGKGAo9Ja5M2dpYN7wTbRFcW
tqQCeWiSnp9Eczwwlhg7mATmrdDx7heaO9HoNSrhaxm0f8VVk2HViLG8KNzcxfnbCXefIjvPVuiB
rMe2c8x3tol6vE+Hsd9WOiEDoyrcQ6YDEPFEMpjjpnE14LaTXqnvvYjYGjM6T+WmY7SlcVa74zds
5+krgYsDg1zOBWom5jO4yMpwR9TYeBpqSz/Mcak8DCUtBaIUslsTBgRVpdymvpOOSXA5dEF9KaMg
XOsEM23VtB5AawPWz9a6mA2wnDIYv03RIF/QFOV3xeBQquc9vBMaUJkVVAfjMbKmMuX7VMtfciYp
uAm8cqsQJc0mF3V/oeixux7B1DQeCqbIom4TG9dt1ncuC86p/BYQeoIKR7VD2GVhguanQ8aTaC6+
0EkhBUW6s3s/TFTxCLyAgJqSKUcATXUFWDzaFYD+28zSjkUUIosQEiYKGg0kMkatbyqCSS4COAxo
rsQYEuFndfW9pN7mx+Dn2lWIdXsT9SjpIRwF067J1BCeGj7yq9GQI+GBKKdWSjqGd2UUpPfB1A0/
RsZlUNI4AdRVNQnU+VqpUH2bq7R4ZiDhh8zMJhAqwGFtyhAPwCrVynyAmZOOb5MMMyppfeF6I4KU
vT1nB97WKlqjqkJCH9n62Ph1X6k/WIg3u0XcsKmy2HTXdJtiNJshih3axKTtSS3QH2FnRKdhcBSU
A2N0IAVO3cF226u9ZUMDqcZii9Pd3PCQaQcz1Umm4b1qrkc6Z9uq6cJrjZ1STMmAXD+E1z1SGt3a
s+Q2dB+TPFQnxaVWYzrluKF837z1ShdekAvrvkdllFbeNLXWFQUT5s6hibVLNr8NZU1C6NjC9USH
eEVCldhLzSI+jtIQW/hz2VodgZFaQcWkWRHFxqoAxoPZFbdho9agKJG45hgyLD9PErleMq9uSxNk
itqNhP8AQDqigZ1WMjf8Lg/vGb9uOgWHqGJTQ4+t+WCniuFPCallemyHP9DePkz6hNo4VU80G2o/
xfFwQg1qvEiaGQQIkOTTdwFC3dq6lW20V6p6LUBuHQZGdMHEg5bmZlYnWOGzX+DqliPQvTK6oghC
zScl/GbU1nmT7mkmE3Fhm09RWW9nVb1vWyp6ePc3iZAvBJQcm6qGQrGEAwL6RNUQTUt5qzFXlUnF
LmmJVrApK+npvE0tNV7DmQR03iDpbUJhk4futJcW9luA3oKgILOLnxo3r79pFbhP6WJKa+0ggGgR
Ij0IjMbczYqdhJ6tDepPoU/VJU8toxR6yschCucHHezOoUeHWqKjc/qbxhiKOxcAxbouVHWVzqSV
lOZ8Pw/a0aGjgQJuYBumqSphOdI8osZ5nsl0BISqjICYegfd4JzobASTlOyNmXUrqlJ0oWrDxNJk
fkRsL5UWad90KkzagTUMkR2SYEHIVN02aor6Vim1/gft35JaOn0SXCPNtjR1l04DMCq2g8bRwS5z
qoywvYTMRBSJ6Q7OXTPY/TGNnJmVJtxRJ4uGTVvrmkcmoOXZBJUcgJVk28ms4o0wZ/tNgansQa3L
YIrpFugSNTk0kck6u1UF69/UfjLMSF9PA9FFWRHZG3PSkd3kdZfftFaiXZqV0q81varWuRTubprs
7kEJRmPTA2H9no95d8rrSVyNOiJxnpLonlTT4l0dDcqgbSrbU1YRC9mZMjlYbmld4J0CxUBlb9xm
gCNfVGKHgNpabJunqXG8CPvWOoloOTUJKZawObJNmAXhdaGMlAWrOVtrcZheD6UMvo9Gp1zTLzPW
pdTFTdJ0xnVKf5TGiVHtskCBiYxjYeHUpocgNl/KAr8qmCXwdKOM3pOwca/g4023QPh4kCDx6oR4
DoT7uVy5Edr0vpR0cJDLNnfhZCsrXgJ+UNk18I+m6kR85ZKm6oR+z3h2oUTnIpTZT77LBhRlCY2/
UhXNFfnFNNuaWeKmV81p9iDMzSWSba3ykqJC0gXSVdtHxNNtcNKmFw7RRgwoSzMAHZhPHEm1hvcz
Q9nPWLEAdTsJaluLZ145xije1rpdqGtYIfI4zaHc0/5svfPqFdnOvOvgdX1DQ1IyjDUYASEErfpq
GtG9JM09uSP1pnTDLVv05BhJ6dKPEsaW9k3Ps9sEQIqMQVvPSs8VKX3X6RwPPIF9QAWY3yjU3TZh
MzoPUzO7dBWicFNkZngx5jYydBGl6mZgJtzr+YjtqwuN8GmcEvfOJkodjl4fl5vScZKrsIriS9xM
EgczYZD7IiCk0fuvJOUzbkNTQbX/TpCybqv/9z9N3JX/untl/PtI8/z3Z/8tStHdP6DCg9ywdUR0
FgKk/xWlEMFM6LGNXgvsBu4kFDB/kjc0cpaJRuZT8Dwtmif8mD/JG7r2B+B5XRM26GXysRznP9Gk
6PqCAviLfRm3tGvbLvRQU9UtdfHBfoA2ZAjXh0BIGjL45xY17WQv1fiu3arkEzebWORVtapjVgoe
+/H5ItWM2qKinubVMt4UVIDtsCd7rRNGyF7JDtFkkfF1T+xzdFWyyAWJMA3mlRlpGWGuKl4uyhwI
JwBRRMQWz6zFVvyCaaFZZ5QCcrMsJtYESpM/u7zer11EvBV0OMOQ69ikdjsFahytJ0cxb9juDCGF
9zZ8Q3dO8lVRtTE9ymZgL6Krc/vUITcfj85cy4dWDZdaF2jjFusmpZIN7T6wYU6EhI2VYkmUUMZc
SIthVDIKKto879C4DwklvhAZ5dQrEK5nyKII98ecwuOpJxQkROhCL/pOn2fCz1YonLXkHrdbSDhx
1ziXhZhTtpnsrrpvvNTWe5mXSb5RzFKZ2XWgZoeypCtl0fhSGcW0TVR1gvom0+hFp9B/l0u+kXqE
YlDGRUqZI4MZm+Ocp9bdXAjGSTqLbIrpQxUU3BQK3qu4MxCkZ0rSrQJEUdvUrMs7lTiYZ4CLKiXB
KRMvth5ndC3BKbO5VKN8bU3NNKx6Mvs8k2Kn6S93MF5ZKHkpkCeI0zHZ9ea1SS3ptuuC+X0aUvtV
2Kn+ugCY5xVsiwixXAklCg8mpExUEgIrXGQ7wzcMziE86dhsI89VW7e7jyuLjnpNk+UqJCPgB2N9
gM6YOhKthE5nO1V3trQ8oOMAKckiQyVB4p3e0ZSWprsZo3Z4ifQK9SckRYpIuV7EN7GGUYJZUalh
3ymd8tgxZiNJIEIZxx7xVZdOA6ZkVTcajY+pcIqjng0OVsM6oNVf1J28TRAqJjs1N7RvpFJK0HdV
x0UIsf5hGih5OAjuqcrZqzodTWoUxJIYPIRSNwbMSG6DW1JEatWEiEoXlDCIeyJWkEFYKa2StohV
lSCnju4zmQ38iYHDZBuYPbqmMCzwnISOltT0MlEu42BdrEq1jdN2Nda9KpYGHuqHcEypEPRa45as
y2PrxTYLmhEJ/XaqB5GZga8qh6gKadiyIV4ZddfPbDVoc6ynUg4/JQV80J9zo1G4cPgWcEDWz6oV
mrNOSI1ibu2H7LWyoOOtEELyfIEX6a5LB230quojnUBydwS3y6IR12U2EBnsIK63V1xJ95I+CTNr
mMGSXIVkI/yAFF/GuGQK7c6pjfTObdXK75opeutaTM8XZimcR6roOi331JJwvsuufevrqnklKYrQ
vnBw7SeBYhfZGYpvnjWWQDqaEzyGvmUX8VvdqhnRQMinoevFpSN8wWuAk2YOkgetrjpEaVTxVh/m
gOtfg+ZHttDfjPWM8poJFwksEsCA81D7YShNKDsmU8Mhm2EJUMYYhTIBSXHPa43s9fcH+2yop9Nk
U4eF9CBci0nk07htZFWKid4kYCpCJK6ZUHodrfPzOht+zfjIRyFg/8NpaX+bIj4d6hOwRAS4xmaL
BFDqoW67Fs4k1hGw/HUdKKjugZ5bP0TNXqmjFbZv+ij2JM1K+syt4z4mgFbWvz/3v3ESlh9k0wgC
sATpwl5+8IcLHc04FPIBTUs41f2enSZ7DKcu/N8f5R9uJxOtbtoOXnmQ2p8gTtQ40dnTn8WgQf1r
nNgEelABlGstas0rtoH1Pm+n7otzO3/txwmZGZK1AjsWdaFcIGX968l1LhUk5tV2RQ6IR9bCKl4/
zavvD5fR6rr1X+WKJfMq+eIe/8O5/uWgn1A+rpOwHc04qGs990R9IZSiWuJZReoruvvFwT4/up/P
cLm9H26fSeIEFU4OphUqsteAPMyyATKashv4/S3Uvjqv5ad8OFTeFthzl4tZr1Hke/Uq8MSq9Fzf
9l+3L63/QJf3i8fmbyCoz6f36c3EbpER8Xm+gZGHPcgjBWFVeFSHvjrScld+96h8ejGpfmYTWfTL
2Vk+jZJDu3pEb3o1e84DzZ39Fxfzq8N9QswYRpHp2XK4yXtjn7UFhLsmT/Iy3mNx23557z4PO5+v
46f3T4xEz2rLdZTeG2/D6nuxOvz07h5/f1bLj/6/r6GtfgKTmLTAMmU5yrxhdeGRceYV3pd36vfn
YqufyC5UyUBEL+/XqV6/pd79u7V9fbwzvnjcvzqX5Vd8eNpHQiLTCufqyrwJtoiEi8dkVRyCr0ao
Typ26683xlY/DRaiSTOzWS6ZskO06bVeuPrunJzDVzSnz3L5vx3o00AB7Rft1HLV9C2wY4ZCZa1d
1rxHml961rpYNatjszr0q2Q1Pf3+sfgbYO7zSX4aOSa9SLN2edjJFNjEO82/z7159R6ssDCuyg34
zK8u6+/HKvvzTizsxthmX9CuDIZ+a2Xydg07Jl2PjqsHpWId+siMvK8mU2159n73BnwaRVDK9Xa9
XOXK//ZI6IVXrH4crl+/uJ7LqPe7o3waPGSYuwqIds7uTj+0j+VlfTDegmtaBw3sitfpHv/2lXFt
3X9x3GWU+N1xP40iiYv+v2s57uBHXnZVngLf2SAY9x7o7vg/0ajzFKmrn18NX18c9zxLfHgXs1H2
g5py3G4DXt+T63JrnHT/y6fmn46j4STBbGI5VBo+nV+bunmhLpMp6VZrjXM0fMERTU8ccw8l9E17
XXjDFhf9hdh/cW3/aVT7cOzPVL64TibChZdz9OXafsw2WBE3cGk37V7f/Zsu+V8v1Mf8QsxLDHK/
cULF5b+2zWvx4/1fP8p/XZZN9/6x+KT/+vyf3FfjD5YANH15hQndXiCtfzqiiDK0XJ1ULPHvv2FQ
+LP6xKdAyKFWW5af7GQcftGf1Sf7DwIHbXD2tsqeA52r8Z9Unz49u6YrDBe/lkCDxzbG+Tz3NnHR
Nl1rf+uxolalcmPHO3zJm1JbTA8GElr0/vWQfDFLfhpnfx2V66xSecPbtRi+Ps6S1K9rJR/tb2N/
EJF7kQ9rvQy8jISFeX7+cHOufw0zH3eE+hkT92H4obSnskWx2KlAyxNU+/56MH1QoZGZeH/xEE8K
2bNL4JxDIV1ZD0sOXS1za6six6vXah9RFm7PoXXROcCuTsNIXImmgtJtd21806W68iDPwXfzOQSP
tlDwVJ2j8ZRzTJ6DGIMpeezSzLPPUXpjQ9oavtOeiD2H0lG3JlpFB/S+pPB1TgAeMF2y+ZJzTJ8W
ktjHLDT0e3fJ8TNKXY+I6Fri/QjlK38iGCD0TzaNdB/HqF54z2S/qyik4/bGPscFIqpbWkwm4QT4
SggUFOdwQescNGieQwcXiRTpyS61qxWwIvxsTWabL0TRohfTcBwQSZ7kvmuSKY4iWs0vFX0JOdTd
geqUSEPw93YQA7dtcm2q1qbiwruowroOj/RjHA3pZGImXq+Yk3WQqWEdkSXQgHKxxFSeICfhMrY0
nq8yMS7VnkiVmdTKW7MKn1tQahis2qTJ0FkWBiIcO80XT51CA24iCNtdtU0T4BYNOlxhimwNbLDj
PFEa6zRrXGtaEKKxBewzbSpAYERem9x3ouUG8vxKTeu7W9TXylYdlFKhMJo5P8YYF/eCUO/6TV8I
1dw0iZuFR0zDMtgbqH3gUlC1eC57NwEPYBPAifinstd6TzfSUxZpHPWQwonI4cmHkxDonPysV8S+
q6wYAzzEJcRwRlOkVx10d8SmFtFgXhsUKOtpoNDA1vAll9ucpnDtO7VVJAcFzm64pq4ZdzUJDFFc
3GD7JTlH04bouyzA7CHNVqtgwwaT3n2ED5lLiNF+x6aulivBI/ZSDybfSNs1LTwS+fJXpLWEQo1d
4lyW4ZTcF1klxRbbgn4QlTtzzQdXxfKtxcnPfAppbruIt+xD29P5WTlVOPbr3gmMvVm7CbnJmrpo
bjG142MxU2vj1EN/JI2QQHCuGgCfEF/URWfrSuIjq6iybRfOnUITJ2qva01Wr0ixoATomT0TwhQ5
yutgTN3twhB6LNn8fxdW3l9056BAhQcNi0nXVqUXLlmCvdVTw9btkHCd6Bw5qJ3jB6dmiSIsCMHj
n58jCrVppt6YnKMLRdfpFknqJLWAz2rkzdyl3W12jjwkNBO/sj6mgLGsCEEt2Yg0PZXOd2s5fh/O
2YlVrl9nqYP/rQIopa+Gc9CiA4gYz+SSv5jUVkSXFcgBtopzRGMTTQJVbtOMrIEix8RSJPIBqIBi
dqCrxDA+l0vmY5+kSbeZlyTIOh6oPYMvJSAyOIdF6nbfvfdNO1zTkdP0Taf0CA9FSairYpnpnTUD
0ViRoZ0+EOZKHKWkvfpC6nhabYxs6G0Y9yLq4BMtQZZZFrUP8TnesjxHXY4Z7yu+g6pw1uU5DnOw
jOkn4Sc0lKFEnqxuCc50ZoBFKCwt41pdkjWLZMyf5nPcZjgGRG/WDtUwz9Qn1/DVPteibbckdVIg
JbSzXfI768DMc58CYQUl4hzxWZ7jPieJbJesStdUjiMkNBynSzroeXL474Lm44KGrhfbx/97QXN6
pYm2xeDe/qWLtnTL+Nyf1m71D/LmLFtQjzM0k6rn/y5kbO0PW8egTU2aBTBLnA8LGbD3kKeXxQp4
Flr0LF//XMdo7h+4TyzkR6xhKECa/5Gzm4y/v+4yTJXKL0fAuwKIncn+0zRvjGFDBR/EyozqK9gO
CmmT6O3C9qYCoGvvdDVwiVTGFvGCzQsLZ5UbQInEaKqTPyPPKWnuFPAi3KIkHGygFXMBWqzGjoBz
Eg1qYMSvstJz208sd063LJcyZJO6OVqHQa+zaCviuduTTEtdtkuU9jtTc0j5GbSCvrcRFNyDTCiu
wU+F67btI1rUZR68tVEc7Ugj0b6lXSgeKElqxJ/bUq+9tskYWaxxtPaTzByYCsNkbMaS2FHSIExb
96piUF7abBA7AJmtQAsfIU9gqde8BFo13oeyL3/qWCCvJ9hCbKWrCbpdZwj1Jocih1KKaOZTRfaU
XPJy+sZvggY4RYKMm0G4ThW6Cijq9oYi1J9M9yDqpKEWt8jvGXqneoL8l0JeRFUeguvbIGW2bzSZ
YRxOMIOOvsUOpfVsUNqhH8VJ9DPTABj6sMkwaKdOrN0nehPl264ccEkRSZa9kkFnPqEcKxDjNbQR
DlY7DrjAk3Fcx3jXrb1SO9OVzIXSbJxqmB4bJjvIT2A0ABOG4V0NIe0JHyoACmuIhzfByIhOq3ec
K4spibmotDKc1MQeIF3tbP6SjOCGKS7o7NZTZjV8zExEzlBBUhhCKLXEnQWxF9GNhW4OTeCgm16Q
23PtGe0gmCfTVuFeOWN0j8gj/1lrUT8if07nAY2cYvCtimh/Ruh4SU81quGyrolaXWddzJpGOEnw
poV1QSUFIGaOurDqrngIRL2Je9SZKwlgeYZUKIgcLlDPzzS3FBPZX1dCHVGDCOrRqCYdOXt9Mleb
UcXBKqyyYhkTJ1g2Gvv/s3dmy40jWbb9lfsDKMMM91eSACdRc4iSXmAKDZhHx/z1d0FVZVbdZvea
9XvnU6QygyJBwP34OXuvHTNhzEqzuE4yLLxtyC+afaDD8qk0YvMqpZa9M3tlfOKxJaHn5zuqNk6b
WOtDQPDNxrbD4RqKJp6QBpmZvKgxZfpWoeT8Gqaid3Zh1xopg9ymZZDbjWhAcnThBxeo1XROsV1z
E5tg54Kxxi6z1Tk6wyi0JHpwiIFuvA/RPH27RZO6fmfiyGN0I56yOcOjuETDmzFlFe61qDUuFvE+
S2fH37ZRO7vO7u9SsU6pY1GAgamrndnivfThgzVXVRSMsSbG1WgbZQK5tEKu82zPycrZXQricZqw
Ct/IBEuujcIqDpX9T0oyzMmbRflqGqN8iJOpAUcKqvKxzpmFRVPasjAwR+chMfT0QbPaatwuZd+L
Xci4Ld+V5gxvge8fXkHFEvlXkQdLDLzgW0aJJwjXxvU/5r6rx/UX+iaJ0U3DrhajhEfL0446TIXe
jfJ97qHG2YSp492ZuBVaxuylTDFihmG6n7xYH3wbGin3Up2imdQjwWstBIYxhGV/53XhyHFuiERb
+rBG9WPVyvkFv0jIiNXEJxdnpfFo9zCvUeK67aaZ9dbhchpJgaLQbI4tP4HnW9RNEiA+h7gY24tH
UE5ffy96gyuqxckot15oLp+egR5aJuPY+Tp+vquMgSjvqJ/0/F5DU8+9YsfO3wpNU7wXTYdJrEFj
S+siinUbvYMAYZgTMlEeE7F0Vrgxu1SEP7aVkLoBv8K1u4qmfsfkHNbA4uWqPzcawRvFjr51SqN8
U+voDcQOwnPubWjghHwQrYtfqzJEeR2CFo52JkwD1KYSBtBZh4M0bxacZcfCJr9rW64rGSLaIvwy
R/yx21bMuRlkTNNRnC498VEm1kH77OZMdbcz5V++Y0QrXsCVI7wnh7nFDQXj7X0pXGC2QuhYE+Jm
wQQ32y6WfCgiXrxL7bh8WSRlNSu76DH29qjIN1qeZc9RMqs3AToUer2WdB7OYNVesWQv+VYADf3u
zTXw1aq94pcl5vXonclF3JJ5juZRdi5+TPT1VYM+LnOimxxKcLrTK9IWdkZmIAsjBXWy78MGWNqu
CB3X2mpdaoVbhTANjojmDM8Totx8h8dPH7BQWh03lFGWrwsqfXlq4rHvTrFhqb9j4lFvemOBlNGe
7UXtKQJRxhUJWU1MRw1gbqZRId/E26py9O+6Tgqa6YZwoLk8YFq93PJ2kPRj+uje1D8Webd+ajT4
GQfrtnEDz+MjgCMuYU1Es7USf3V+C0nDK3Ga0JmKYQzDw9fSaxQS/Cacb8cWwwrhd6WGF0DFEQGk
IerUrVZ0y3dJfs987JE2kKoruEA+zvaQBEiq9rAkeruCnFX0u8yWQovPkKZAzgKixh5WZRqOosXt
FzJAzQxSqZyMnMzsHCW7grq8cof76CvVhkwFhKSgale/nj19DTxFPxDnj9wn098WW8oH3bz4ClGp
QHKCATcI4bA8OrPEaWSsEaaJQQ22ac3Qfp8sg31bq5UHbY0lFi1CvxqTO91GIx81YXoNkR3COmYB
YQGyJ9ijxL/3OkfObngabXNBFIPS9kEMA6a4rE7zMsDhULA6LaZzMuJ0BPoyTohLc6c1HlKnzx/N
qsLk6UDK0MhFLOmMTw7eNi01xu8WUrDB9Jljj68pRcdA5/iEtAUKWbRR7tC+stPyXdvsh4gVQuI5
wdZ24pK2QgFyW6b0A65v0+zTacHeF3HGWnzQC+K2mdJytgMC0S4F3Fe9D5C/rLmXgA7/xNA9XwCI
oT7FvpAcercMP8o+XzGanWHeVrNt3uko49s9xCsWfMDl3e0yItglA83RUaKUFTVWG9aRubGMcuKr
qYritRRG8w1A1Pq2+XVyE1ZinlboVn+Xp9Qd1jjI6zKp2ca2FnXXrDfETyNk/eNpiXED0EVoAakm
5NUOdaTfJiVE9hnOw3OjxYDXCwB76mTJtNwNS4S8XVHmlnBBreqbfn37M8xEz7PpI7TaJ3Ge/yXs
j+dBX9YhsYHrAYYIqDN31xYuV7D7BY2MLiy6wlDh6HeajtLCG0vvNUJgCzqia9Vfd9Q75xBxYgc6
J4ZbhIqIK5VtD8OuMFr705BaabN3SKzfCJUxLogBygwKSGwDTq2XOG8Kw/szxebM3eB2Tv3Cf9TP
+GZNb4O8H4l67Q311jUrvfDdWSt/IlYme0eg8iThcaZG/FEAxD01RuksO2+Z05bqdCDJTFUUWliB
ZdVuakNhYkgHxKdgLGztK5ssirW40vNT7eQGcrewkfcKCdJ9HQvYm1Nu2d+LrYPgRV8w/sU9vxqb
stQ9D8rptU0pq+RlnOk9bGY5Opd6SkdEOcCXfW9ANuf3ugnBPB9q6KGkeiThxllkeEY83KJnRpz2
bKu2ebJxfSEI4+mr90MzJDcrAfGtdfrlFapjdVvqyWQdUkzPAQrgji9wyQkqTVJ6ZOSAovun9bD0
Tg4yQQuXKh9OyNBd09xVYTpBOzEdR2reEYAuXZkraCoB43xW049DJ/Ntoidi0oFLqFpbDeAz/ba2
Mzf006jUBwtjzc6Gf8CAJevI9o7KQVyyMVlzTi1NGy+64+DCLacMjmcWtdC0h351wlp423Y5C2vM
Tct6HAhcAm6Q9lb7WiFt+h7L9Y7zMjuLdjDwmidC07X8xgPmc04hHePyQQrGOYVXw4ev1hRqL7Jb
VmQMql6ts/J5y5h+2LQBvlPL5FfTqsgkUCgjF3ctjUcbKVmsZzHvLIte4zLGBRO5szEe2tbSEVeN
7nSlMis+CshDdaAsoT1qRR3e6WVrer6tYz+JC5utwuwjiTeosvCVEkCrxmCFh9EOBmkbb42hyr1t
PzXFU2MvMaObBA0b5nKrU35T59bbREJozYFoidhzhVLz3qrt8UJGCbnIrurHlnZr38a7HBbh21zr
rb6tCU/Pt1oEvw6N9YAV33BdxCzNGn1rORkfDF8kUMixRmW8HR3TuEcIiqKuW0IpSHGKnXfa2u24
t+goZZc2Ue6DFUqKyTS15R05iO4t+6x+N2fu/LzQ8mkbyvANOj0AJSH+pRJXT8+lL7KQw5DyVBXv
1r3zq0C6DLJI6Iinuyj+jidTfy5BnpFTkSB1ZNm2hy+2ZmGhxVu8B1UXNVr9uLc/c9imtKR5Qj7H
mjoerTXIWfBp6axfIm9MHpPFwigPHb4qjgUnw70WWQt6wxIk+zGeFtCFUIxp/Ngm9owSJECzIZ+o
d7d5tCziPM2kQgdiZSKyZmseicJVot+5wE1K3BnL4LuDJDndiRLaaJ498kw1bUlPCii5du06jtLI
IGf84k1f9N/uYljvqgcQsqUhDiqqxyf6lkjd8vj29EbthqiZ2lOXl/2T0VUeixGREe/SDh0CQV3P
YRw8C7ADOBHC9kxvfKXEIyeNKWkafMYZh8NuO04WOTiZkAv+1CzV5LBLRnetb3QTqpLqFZujqtac
YbhGFRpbuKdEv1s2GwvpAO1rSIKKdQbM1monuvZhiuV2sb1N4k5msTUwOvebLh/Ss10StMzyv5g3
RZKHxh6PEMyQ3kOgXlmp/pFj3jZ2i6mGfN8myVIeMy5a+c9Zzv/20P6jh7ZGZv3/WmjB99d3+5H/
n12ChjT57P5zIPjPv/uvNppNQwzxJiM3SmhU6Q4z+n/nQIp/mEz9wJbrSBiFbTEq/Pc80HD+4ej8
WK7jwF+y4n/00dx/0HVjE2B8hz4aPd7/ZB5o/0ok/3NcxkyObDIXLTr/bdXN/9dxmb0aIFQBqgl4
a8ttzenU/JwGM43PIwb25qtmzOHdGoW3b1LMfMJZQWABlf+5gBtEf4RjpzfXuzx/a70x0G39yBns
XDRTUFbV45J2Ny2emTGBuJ41n+1UccyBgZNn9bcS6alYtxyteBhrOEX087cO6dtAiYPOattdyMpd
W06g49kyXRegYvySLM1+HMR9li83XTSAWrMWAB/yvgd5FE8FaEQZDGOxL0NL38hWg87b7iMzCQpm
jqTC6t9OFj5FmElLgXG77PV9Z8o3JNH7OTVOOLO+rd5+agzvtnNSH03vXnnJwc7mgxnmlz6fjoap
grSkW7CGCSnX25dW/UZiFSJwJzxxZU7kXATz91hfOvcZ675vgDaq+5eciSMhhOy4S7snDX3TdQ3R
kN5WyOJQpPxM2rf0O6aNa2WBM/d/Sj0+h9iQdz052jZQG42USwhqdvxuAUpy7RNg450tOBNoirRD
3W+0jD5BTwXSbaLxZ57/LCm2mE7baso5RvjNW8j0lZxPnt1sjS4+2swTXcjC1fKxdlNCXL79UDHq
cR4ihks08Kx6OUJ+3yKuZvZzKvOelsMjC/m2Ha+sykHiVPuWr9O7BdqLR9LbpmgNxRxup+HiSYaj
FoyetfzlAjDgStvY1wdrX5vtwRo0sgDe2vHUTqNfqLt+/oocEwrDYx+/xN3TnP1oqsNzQwPQemdW
CwWdQdkjk1I6Cfjq1D4Dm+ziakUS7LtENNDxkdu4mZ5Mr/DpEdMgReud5Qfc4TdMKy4DACY7Daet
58SBCsUdhLbD0DpHRB/XLK7vo8V5nJPxQE9jy1Rsl0i+wS58Ycne5V15y9HrEkbd3rCYKekTe0rt
BAZIMZ6oY54MQQKcTeTtXs3trWsP+17mQZ2F+wQPZIgdYQNKkC9OJ/IhviRTzKfKuEl1cR5l7HMB
/tRmd8oqDvuLC8kvsqbtTFOihN3CVveViDSIHU4vw9L6hpxuCoxTjdT3MiuolsIm36ymKPiPd7ll
nfAW722Gh8UQRZxl49cmMQERykNoNMkmhy0aw/rdmxw4gUbGOz2yXsqkf6WpfLU6Ye66nGgaVoBH
GrhiE5HYE4nmPOv13klDnr7kOjemd5xkfzR657NZu1CoDfzZLT7MBr5a10LghutgbXLB4QOfx5Po
5s+KPVfkyROLDuQNbXxZGCPhSoUSkG2Ys2EXbCI79GgSD83ijziWsaGJxuzeNWxsw75YxoNQc79X
svmUA0WcBjQlEK3Mj2VtDjQj3M86bCAT6EN6WzTiq1yy52lEcVs0ZB70So9BQqZHQPbwknJid5hb
ElPRDkkQjt3wmNbLM1IxcHVZQ7nSIpGjGdiM8QsrT9BGpj+W1iFys50jXy3noXrJ8FcyK4TdBWba
RSFqJmCAZh59p7CCqqsCLetYRJWv+ICtnd+bIw7JguTzUho/2dClR+ZyxyFZ/NoLGdBmpNHb4SGa
hmM4apfRdPxEi8qN1en0ZDXfXuRTqxlnjWkaxhT77IzWtqU7v6GTD6IgVm+eWV0yd7wknAVTpe1n
8IdVufxICzq+lg4cLhp3ZzkotqAIlAp7hSOPeKaO/VDeu0kElSIvn0Y9ObijdRRF+6yJcM/Z+5p3
MkB0NtEnot2qHwwA752b3Sqvv0RD224LbTJZEMih7O39QF7hMi8MRQzxmc7djREV58kUf/PEeIDR
dony4WFK5RGcS7UplzfH6HJfckTx3Si+g7xCGFNtSb/IIOw4DOQNH3iXvJSts1iIG7Qnzysuzmqo
+d8p4n+vYizLWQMF/99TxOfqEx8ecqH/rH3+9bf+Xfw4sJwJ6dSJPnXXP1FT/av4cfR/oJCCyGw4
yIEQPiF4+nfx4/yDGZRNW+13wmchVvqP4sf6x2oOWP/xXNxn0vmfFD+m89/V6sy9sD/xMswReTno
Jv+1+uGoVnh5DTkNGll5qixBfyabyAZzKP0CM4qW42TTlSIyRmQarTstYmJHmMc4oCgJVWv7nqM1
+zpL1a4uI5z+gA9FVCx3VH6C3bCT4Iq1xj3rNeyDTaZBTi4ArAV6Mg6veuyEd1VbNNhzreqSOoP2
mUiDSEE7D6raIS5x0I9Yc6tzExnyDwkyr0boTe8O3rLnySvDR5vjy21Z98abTT32ls11e58LbVdE
IXlTWnljNkX7p0tjEXAkrL4G7LkMjTxs4VNUNneSQyJhEpwl0kGnk8DisRkHQJa4Mb2dBygBtI7s
jbvco0IZeze7t6bsCcQLTInOXuhY9mCoGWC4tyFIJ/aFGcNt3rUPcfmOQ2bc0eF5B4lBhUInkfgC
EAi+6BdCBVJiErHWX1uduK/cGqM/s3AIUXZ1iaWpKE4oCo5uPt9VZNPslimf9yO8wr2M5yyYJrp6
wtOlzbgqxWUwpUvhVxmcrYTckWMa9pWfTwOlEvMN9m70S/SZDCBIfUjKR0jGmG9ZtMuxIdM5/IRy
uPZnV8gah7JWHjVMv3cL7aOZmMJNqIlTqlycbdkIiibOijtmKYznrEweIoPmqNNweXbzMBMyIEQZ
VCUeHd3I4GIt7BstPy36j6qH5wbfkqF0abt+C8jiIDzBnjX5rT72sAs/jfZvzEDIFMj+17rTiaI3
e1TXxSBjsghf7CXZZ2G5b0KXWIzvyo5/yGs8DXQnvMz41qPiT5+6WOes5Ji71jGR5TFqSemxtEuB
u9noptu5ih67rDgTC3JuivhA40bdUsxYO7jHhynWtmlDbmjeBA2DvJ1jo7ACdpQkJoOSWXvoEZTF
ctrUHI1nlZTPmEvFJkd4D6BJXGB5liSBoAoR5cELSfVgNe9aIin1ktg5az+Zw5tnJaB4RWCuvnH7
QXNoVrqPdnwN53dwciMT2iHc0LrcWlNnBS4o5VsA6T734V7HK7MUVQAmzt4kVkuK0fCgXBdSp5wC
p3f2dK+AljI1mpNr3k8Hh8SkTjS3hGy/eC1wDrqabNhwqvIu2urm2RQ/CwV97IH48+YjoNl901fG
Xrf0YdfI9E9TkztghdFzlHk3fT63MDeb+ifPbDKetHuSX/zckX+6RPwh04V3HlY6m3R9MDr9Ytff
Cb3UYWlAarj0wZvMk4xoMxroDP78bCpRWpE7pEYIbVb+U4N9eIetll/clE6Z7c001dTVALBqjStw
VDsU4IIGKQMvZ4JXLebP7PXxPiaVynaAOkRfPLXXGMYXg5YGsFNhX5aM1rajHiM9+jOt8ztZKvIl
Su1O/Wa19OWHAaYXi29ZbcYpfYxXcBYQm7tQNy+hUOMGDF250SJxHxrJ55RiNFTueG+V/cPkOG80
1q4OXT2qSA1MSf4EUfMsavZvs1QPepe/AfHi/swuFZMuaFlHrdf9fg04jKp0ZsZt/I1G9Tm23Usf
LsSgkQy7BR38l/3kgzChs8GM2RwxLcbNH5FQUg1R+h6W8CiBy+w6hwb1rMRDLyaiKbVgTPo7RFBY
g6PmvpooHUhMD0Z08Kr6FBW3Z8bzvSj97Hb3MafJsnqfSnjgbXKT8q4y7dWaxLZvF4sW2vIRhiw5
Lvx+hAQQKTDM0IDdkXqzberbWBqHpbd3yu3fOYXOH10fBSagLDP7U4dnnWVQ1/sf0BQ/dIygMJly
g+MU5Ug4/0xN+4CXCWEut8HSducw/1KsCwxJ34H+/Z0syURHu2c/4p6Nz1qJ4jykGLUdCmKZ0ZqO
NI50TbF1auuhCZGlgDKHCV9e52K8l+UURBZcZOD1NNf+0oEGrWpkOwLhjrgLCQKex8BS47DNO1j3
zvDTm+IuXfSX2Yhuie+6hy10nBawG3lGQGedrkfFBUTTGGfHVDUubUCmVJM0cVaXUN9RNuNjp8OQ
ECe/jYf0D17be7qEh6KgDZob3Rfl4/Okqy+vsqNzkYIZGqXaQZ2DIVGSSuzutbA7k2y0aZk7MMMs
zGAmvjMIVUfc3nJ0SsZJ1tYZKTXT+ktKe+TH6c3U2FzkAnxnLU0IeyUxDBpkbX3sbpO5ekmK+tjZ
oc80n4hZQ9e49xJxZxbcCXr1qABAca+b1wnaylV3u+RnqmcmxgC0yBhThxED92auWqxZNcEBDUv9
tsmmWxaZTyPJ77LQ0B4Q8/ngIVeFq30miEUyIBm4xs4dWzmia57VmlCzTOVvzfLltIWPVGMz9E8o
d8+VFd8g0XkSK4lyMD7TWC+Dsjf6gzfWWyP6TOsGsGxPZC6JXzj9UPRU3sFq2lNTTDasXyM6jOo9
bl+a2aFHTHEOw3zTdvbWxZa9aaeJ68aJVjb3yo6OrZEfzCUK4jjcZu5b7JVH3Y0Dx1po57pMSO4H
eEop5dJoojipSKdh6Jxy/+baK41ydK13DvQiMW0VfB23i3e1qzh8RhvJYmvkfH/SpHIgVTr+Efp9
Aqmyc/N9DOTNGuJbvfws7ebN8dwN4DxarNFN7zIaiu1rJRuW4nJXMUeH1vIOumk7UVlsjGjYRml1
SwZWgAf2YJgwrEj0loN9VB7gAss6M/DdlBrkfycJunoJYgvqdV+8Zrl17NVcM0C+1B3AYjG8K/C2
xkjmB9osBnO7mJZXaYRb24puHOdvWln3sFc5/hmHqfL2ONMfYm4Vy/rpZcjCEp1qgFTIsYd+gmAa
+YUXvReM31P9qhYeHbXcm11+1xb8LexwPiQcBPkDBQGeQqvg3ZfpThgVZZiYQCEmPbMX9awzL8rA
ZpN3SNoQVzSuOEb2WMbHZT4oYSM/tns/iZfqQm1J0yWOCKat1zCk+ZkdabcOw+JcGmdZeuF+qpOv
Fk/tHYO7wA0l4UXKOZmTpI9ieZ9ukl8gqVPBmgkN+949xgigBi+7y2cAY7r5Qly97wr6IKpmRRSb
xlOQFw03SPiKesMRhLiG4y1c543NGL1sf1qNYmdL6z/ehXPR3DaK+98DabRr2+S5MYCcj4YgWHhR
cjcISPbZrFxUpbStBhgEjIW2yCZ2DfXUqlU7GMme4+2+dIy/dNr9Abrb6OGkr0PeaXTnJtpHkoR+
2bPFy6E6rzlOKNVv42Yg4KD1gpyRn2qt52oAmqXQSDWzdSHd72QQ2a1axvyWPFLa+bgKCBNufU9c
klzbWVQl+UQXS2NwNQ72FiXfW0hZa1Q1ULRqa5R0+eNs3nf2d2i8mhZV0qZfY/iIYTC7RAE7igEb
MBEQLk29yAa28Vj3t1SzW8Jvz25vb0R3MNzhYGHVTWe0JFAagsxR5GFNkY8tm0rCPGit2BXZSxfC
vG2rGwtQgS9gTVupCJIVdzeLYYdxlaCb8bnoXmsiWfQHMYMLDQ8W3b4Gbv4Q5y+aEn5H5pKlIdAf
DOuamhb0jXujl6RN6N+g9A/Iv/AQ8wmMbB+7nIfGt3hy94sUL4qFORI/pkGKWt4cjcLRyI4nFiYh
mZEfJpT09siQbBieG8RadLgZJgG+gIkW5dNJpdMuogdmLC6LcIMGL+18CmEGLhoAoEi/GPlzIV/T
5jiW2i2ivpNATqdF0pdonFkJoExtqPMBH4XgtTOsB6Y1JjuwSIHRan6YrnulEYiytmlriGb9Qkn+
MpM9Qqidhka6XM4DIZtLbhanOhNqp/IP6NdvapW5kEbqo/B8Kln3RybDg2ZCw4vvi576l8yG+Smu
IGWuusP4ouDfTmYZuN285yk4xnVxUE47ktoFQIro1PKb4a93iPIKQRgMxSY9zrj4OWdvsjl8VN0L
eYTpRlovXYIUkfBOYdjcAl36jDzV10e+fTMjJoOxFzvNnl4PN2E/Itwz1U0mjc1sdXvkYA23v2Bb
7aI/LCwPjU6P0MWd12tYDGzs0qHpmwR1yYkMBmXUapfPJmPcUEpy70jsTub5maYbt8JyRgG3HxBM
bPvKNrZZFMG8W6faREZmhLLudYRLDhaHYAE7ZUWSkVgptwuD+kPXXplYEmduntIh96GibBRckiq+
xSRBXAKWkn6IHm0N2pgTUde4OSsgmDrHvC4J81NbuwVzwjMsd4hxdiNSLhk1PGQOqiUA5x1egiEe
p62JxBwxqtjKjDYU60mfnoXD9dV9gg92eYM1pZC3zYquir8HF+CKDVfvbZwSgPJpGUwxELjaeWQM
cdYhj6u58lM5PzUJ5cPyKOjWhtlHoz97UXkgHvsx4Ty8NOXtmMGBrCTTu94Z6XE5Ae1SjpWscAi+
/LZieoD4YFNGS/+NRoDlpep9SJFn2KfNqdKMDT3A7C4kosCZwzfsBseO6l+fKDjhe8LcICBKq3M4
2ohfGF2WaJP9eNaqk4hbWru96mCVwDFxlKCPOWEQLHtVbnEppGnQInSyfY4XBNoCFUeeWhlT8zcH
ImITzUQWpEOY4m4ECN2s5VrxMoeKIeSCMi9Kuu9wFGQMZAHgxexAKxWYYmhzB8aa3t3MU+MdoQeR
8gGETCsPsdH30R1D6lo9CKkmFFlaTcpFPeqwEIud5U1BmHTcS3zZFNFU4vdd2XOoFX4jZorJTPt0
mRfAVOZjk0HoOCFP1XxZDIFPKA9ytm7QkRY3kl+3M3RoXUIS7Lmd45CDQJrKAW8+uvVyI3SHWKy2
4H8fRvdadMAUiUZGO9roJAuHXf66LAPxClZYNB/R3MYgnMvQzQJ3iu+7xa3qu6IEc+I3ox5pO1Qm
5BXrv9nFSGlfaIAMJ8C+8x18GVbIqa6eCxbHYyfa6q6PC5obFdWfBdRb+5mw2Vxg7ZORQ3vme4F7
g+w5R1fp0hrf6TlqJ/im7iOuneiKG6b2ga+styOsILG4ZMEqNoI56qSvUDDc6Fr1N9NGN3Aq77Gu
y/jgYuQ4wb23/8yZKP1hiHsf7DUFSb/aiJJ6OC2RN8He5gSbgMb5WwkAviIGpMK5vjp749pZ8grv
XQda2yDjssbniZEgGbrCNHGD8O9Kh66EYWVontbTFdOyWt7o/ci/wuA+i8nlROCYE0WERyrsg9IU
CQ2EthIDtWLQq5QUGc5iDXp6i4jpjA3wNmMmc9t1iXmzZGwPSsjkDBJVXCT2nlM5N0dCc58xTFan
uO7dg3IhsAuTI9kaE5GVJW+Jp1k/APPTDyJE1Lcs4yetrvZRj1Y8fkRGhdJLNHhLueZbrJEZZBfu
hYa+ZSS9DEd4sr6nru2OSrn8j23D661pGGOZDnKr5lUqKAHSj7DGo2yOr2rFGzHYomRff6WqG7Ef
B5LuY9zt4HYXdahsdArKyeD7j4Dbf38n0jN470vR362O9EvGt0t1kMQPgoSFh9oe1KHpqgx44nAU
rfelmzWvO+oWAbEW8FxzEZfRWvNCI7n+sYZJT+YbfxKwdZUEG49vYAwqV7O2jKwRcyW8UaSEUOhD
ojf++UlNyLwhVjvaGva0Vw35SsRUnuHcWW9wDc23KCn0wxj3vPB6bauV3W+3KY9WQQhH1ZA9gheS
F27re3DIknYgdsCE+t5OmENlDW+7chUH6dGiT2+lmkHNulwdsMn7utae0BDywSzuomYuPpWRx4DO
ucB6on0xkQJS6KFYF6b80iUPRISGb1+tgSQqIseg42z5lpb64+/N9PsGoIV+aEv0XqUJPcJ2yh8J
ZCDIQGovI1nQm983V2lrIklBhsnvBbIJSdr/ppQoKixGsywOHpqQheZhpnMstW2DoRoZmIcOEdNG
TevWbrkUg94kb1Bb1r6QXAY4iMRaiYtbc7GrlbGpil7s7YGvBzXhuxXqjf/7NumSf4E8u1bgtzfV
IElY+Q0/SUd5M9bR9ffNdSF5Q5rtOo88cpyDbN4/4zTCFmbE4tnAL4G9RqKfRjZMtQa5jOuV6Thi
rddvFPYJN+Z9CbqnycKvLONpsQeuy7jCuxCFMr2JUJDrFm8m443gFERe0mgvrRF/am7qwSjTWBNt
b/Tb9ebHHDcGKQ8895P2ZcnwRXk8R57eYg4puddGOoMb29ResJrxwQS/TC/te3JfvkIRobelBtzF
xIIciIpgXr3+ejtxTogWSWVYP2W0BjDYhBIdTDl82B0v+ptKo3KXR3waKnwBQ4MYR/BZRY34WbfJ
zig7HmoRrbEPrl7uYrmcMnP9gL8vx5Lz+67aicSZvsxvtXhuGMjzQP1ekErV+gEWEd/j+gkrROJ3
YlqjY7yhPNmIbB7HxLRIJ5u0s2aP4iKcTuxhlhNlM1asF8wGH37vzrFZpr8gpVDSGZZ2xoxESM/A
7x9H7ozIol/9+1XDtpPgvbrex5RK1lbmsfb8PlFRy4rzzxFFMfMKMcA9Yia4i2WvPXFkohORKmR8
rWzEsyEQCqgEhf/vVzE2Lf8lyvhkgsHla64Br++Td7c16aY7Zbg6Tqxn4g2dQ5hF9XOHOgtFnGGc
UokyMwVxgqq111+lnbK09Ye1zd41FKJRW+FDTrR0zxbkPrRLoZHQTpiZ+SidIYAkAvE1ehyyhlO9
Nm/CnglgR+UXoPWmTRU7P2lTbher9o7zYuEDsc61Nz2OnfqWDDx8TZDepaCJGTEikL7OmUdilA4X
/jLas9YeSYgpynPX19pLTNDwZprmUweZ/+Aa7GiN156iKl/jhLv6ruYPsh2/SRd868u43LuN+iBB
4qan6k05Cdl9/Y50+x4lYrRJiowz9FcePkgabemoBWqYrj1CUyYMLVvvByvYvVX9X/bOK0dyJc3S
K2KB0kgCg3lwrcJDyxciRCa1MCozcje9ltnYfMyqQd+6wDTQ7w0ULqpuRlRGuDtNnP+c7xTine6X
bxLm5zymkMEhI2CrW+3SJtnr6sid0zm05jhsIIq+E4RFp5VezXIsb2UdclSs7gnb3Msm/Sa5a1Pk
ZcaAoPp2SQwcI7o4/MlDm7Ve9VA/tm7FPNilv8/cJUF9X8GQdJTznAhx9Ibg1YWp37pOeK9HlKq4
qdpxbWj0pTjC4Mpl7UdS45GTjliVbFioNo2L45VQVZLxNMbhviXNw8trv7ShzzzLu+FI9OmWIZzb
zn4JK+cX9r+DCoEyd/ZDqtyd4VAmQ2F12IiV3+prYdI7lS9tGMICno3NhRrrTD4DKze4oFyThMxQ
Iem8pHSjdY8czj7InG/pUNlGIf6H2rMe6HsrKRqy4OsSJyB0MdFSnryMzfSm45qqPkqcOOtyQG5z
uUnRxVaCxYrQ6qkSjDPMPKCS2eQdUQXVWbrqt0FKc9Igc0pgBC5nSole2q55UzIVm2Ees21jYNHw
S6pjFO3jq4FVahOqgCsyLW3RhIOzQcde96MTA+DX02M3fFhRsPEo4dnYEQ1/g9EwhzCC4kTvZn7E
UG8dGh4m+OaFfi44cH+MQ5QdDRyTG/xhxrEtKIrlty+onOttDpY4fkG5j7fmEjiM2nHeTlluYXLg
5qAnooghtlYWUeO+pctDF8AixxGbBSPJgsCNdJ+kqn6Y+BQnK1pi+0lv70ZWip3rifRsz8O44pDX
vY6WHOA7Bu1d7UXtZiSSvPwFzl6JLv+d023BqhkE3KNagy5rKIpX3xnzNypb/BPZ4qVcDKuVEFzv
uoYwez1W4Snmg01xzCj8Y+dZyc43feclDkS3US3n1lQFGbcPDV9+MAd724rKIkg3eShWUeGcOpBK
u1iVvBlebH1oF9YuiE+3JmAt5QaXjPxmWW3XwWgWRxj0VAiC3DQ/am9pMxJNGZ+9mBLKVdKnJZRf
ML51xBu0MpZukc6jILEfUsaH0+S/ZKGBQSkJvFPhjA5UvxH2atDw7NLZTbv5QJB8ZVuUWzQxB7hV
qxK8mYQ3aQH08VGPKHSzbhFMovq28wbnTHY5xJ8VmlTNd9VmAHBw0cQSOMk35ScJtZxSHD7kZ9OQ
WGEH+60JpP7BzOnRY0eNetCXFK8sQ+sVlVLUkKgBcibYBFiL+Jz7o0l2Kt1jxkJswCOzsR1nPIqa
yt6tC1coJmLDGS1lB75EcRi95YxQPv80OsVkWLGrFnZ4cX0ObkpTCOXa7CPG3ISPqKIW3z2HzU9g
qWpP+Qpg9uXIq5TLYbjCorfozA3W5l5wwK1xvK48X1EmPC5R280/j62WnZ5pDaBVKu/YKzE19du5
B+aqS4NQ4/IWrGuDLXPJnkIDirgEt2MR3WA3D72Vzgb9E+Ow+6zzzr7mMW809nifHI3rKWdDxxGu
2iDtaXzSy5E0KDik/fOgLTnq537v9RjgB4zoUD3VExbb4qGVaXytc96DgrYNPj2V+KBrpQOobfTP
xDuzSyqj6IZ0hvdglgluvMEQm1SOzHcK25sPIRlhZot2Zu1nG5bImoYTxn62Ip6TONU+z9k7Aeeu
5nL0nzsjbW4Gr47u2jnV62RGFI8pcrqdBp8zdsPnzqTPd2dCAcCs7j/YBLxuyBJ2nL6gKGwS4VQI
LlMZInql3p7BtV0SDgy6EMt2kiOQeMNv2xnTTUII8xClszprztbcuct513m00rkavYrqr2pf1iK6
m2ebu21ldhcnXdLAfp96yHtWZ/0gYTsXt7SKOwbAHZq+HXK9wJO/kVSf0Tc2msbVYCx+S3g4MHc1
g76HkJf+dVI1nc1aTvW6CJzuHTd5+atbTOCeqI3FSIWORQsHRNkY0D7pLi86RMLL9yBjvVfPM5jY
NumQ/hRYqits5YF168Lp3VbYqX5xge1/KLCxj0pDbKf4beg+LL8nhMnf2V6DNrXPg2py0hutBRkv
BM8NzdvLD54FyKNvXV4gaqnslY6K+JJQWViwe5MtWrtNOFw8f6TvF8um2rU5T8Wqzj3/rTGy5lJo
KcdtmLrZV2dHqAjTmEk8U6N/LYPR/gT8T9VBa6f5nZ8klDVkcUyeTNKmCmu3JSrxJy6lesVn1zSW
j/1yum+EmZ8tmkQoDWp7g3o16fKwBI7JLg3K+KGqK3FT8ASTpqprkhKkJyaKwFpCUUM0+He50QB2
yHT0zKgOZZ5j/k1kGBk2+yIz1mhBL4UgZPAVctPmJtUPln2pl6vKOmFfDa5BJnmoSFIaNER4DiNL
t84LgC6O5mjixr5xLig/Q5rj+AsETk458hlRthUX9Lw9hbWy3n0rQXduxjYu14YY3Qy0NOOGztd0
+85WlpcXGabJT6pD9UnwIXvSg5Vh/1V+LDacxGjMw6448OliM8EPiAn+OXPyktmNGXHjGsicI+Hq
+GQYM2VnyClMzYPE9i5Wzm9hlWq+y2VZYigcoEhjxpnFib0aSXmMvPZVuxGDzsz0+cVzSmJ+wMX4
78ZEcCayU3DHFhTTVUP+gmuG6oqjtgCqstQ+4TG9n5paOsgSNLP5QfPjTfRPOfOjG0X1ff5Ha3fj
A1W8SBdBOqM0jQjsqTGJhxImPqUzavpy5XA3zbZ5KWIDtdDna6M5WBZ1kQvSVmO+5QPqblJnjO+n
vPRObW1TByNjfzv2gXfh4iPuRZ7M+ynFYwr+V963ReKeR+mLD1/ES/MMi5EMl4NlUMGoDnPnS6dG
v9OcL04lLzSZlSqKCKRRRZ5qjwY3Nbjf+AZaThiUJj62ga0rsCIoXAeRllpT5+UMyWbu6INZVUkW
6r1qiurccAqINsGYV6/NMIz9Viy5X9bMeJ84+HmQ20WgNt5Ym/x6szuR7IxR9WHOdLcSJnq9lSkF
62umRvUjEGX/2+vQy6Jotj5GeD2HSdIqSoumxfk28u0Xx8NHzjg/r52Nr+3wq6mrfOXZTExaN3+O
urT7oDwW58r0NXh+8MAit/gYK78/TGM4fXv4ujCqpy1OdaQJliQuphwVoFTgTUKz5yOcNSvfb8dj
wRLxNP/JWBNZk7d06i76NZ1fUbOE1cIlj43Ay/VAjw1iXsAvCDgdHVqgkZyKiWyqM4ZyWxbWyDoT
q/jTSEHlaEWhgioRvtzKpYiBs1pRGLzTdESusA5wTfL8GlNLa6FgIWRuqEn3OfVZ5QfL4nAXO6O8
TKYY37rc/slZxtbYMMnXZ7TVIu4TaaFxO16s3FNIifqgvWkjhUye7DkTH8LrT2nN4Q93t84PhuNw
pvHy9E4TevmmUnTksN05WI5a74iWw7nGLFhzgv6WOrPqkdpKNunK29PPyBxeJjeWRZ3PymLaR9S+
XTAMYnzt41vbnUfkMuOI0alk+si48X40q/HaVYpqcG8MDr5op5NZDPWVBdTZ0tUybdo6xR5NiPeo
4jj/rWYN2F0Y7g0hsf5c2Lh3FZfCu2hiCYE+3D2URrw1RpGvW9TA+0ql3GZAHRx8Sa2IVkN0tfGi
EQYDXbxJG1lctKfiG/wV27bq2JMNu9zRnRZfEOWxwVigwiVFUVtnSeINVeA89QrLTWNnznoI53c/
F2JN/3b0NtHNtZeBdza6/C4PEObCxikPTH+RVhNtYFjrpk0cJejdbV8f6AkSmxl430rn/e+kzFnv
m/gT0yRMDsvg+TC9ZoVDiiIJw3qXlvHgSKu578GnP8R2HO1c6u12bh1dYzWxcDVG/9JYLSAmmWKg
7yLvWvSF/+6ZfkS9iev/jmdnuiZFninaZKiUUTVUHqcI95zdrpzWsnvb18MBd3l4h7DWf3oDH/PC
7LtPzxjkie5uBsRYwej8jCVqtGvdBHYdM6yFPdUmM/+Ixwl9HGs7AqxeET81jlHbA3ZrKWO8GH6u
DlKmBJWLMI73pU6yjTObPBfUv1g3RmsQAizrkgQhsTDuT/jxGhVshZo2FsmvfGieMjffx3nAE6ds
N702TKBORee0d+BqnXWZhN1Tn8vpxHlLcLtHW/qnwjOzWZ05YaEGBdbSPGoSJSHWy0nQ5O8JRRwf
J0TxrYstYQu3nu2drci9bYs63aJVyl1fSOYeiTGRS60oSFvwVQ3ZnFuBf/ACh6k7Nb2T3DJJz7c0
lk43CVHDI4Ow+UBZ0zoKnCSGQOBazyKzqvNMMcyx11iwkFOYetPLkl6Bkiw9I5VmW2KSUXE7X1ut
UdxmbeXt4rwKr20pwjMAt/QiG4MTjKnL41A0wU7kfomqMk3xMYkwcFfKPgwVJTfS6oa9YyA4mqxw
qi0uHRMOcrMWJcePzFQaMJwO3vtVOqbdxjUKBpJO25NHcbxZPVGPN1zSQGR8goSzqT3cSE7I+hZz
6cXryQiV5iTg+4WZ0AkYG7Z1USgBq4TT7V1RlAhO0dgUJxNtE8fXHF58ryQkGtluDQE6ZbOjz5Fs
oAiBWXaG3hqKoa7XyOgr8NPwOtM699m29DeP1MEwoB6shiFdGePao6gDCTIxiwc/IWjvcu08TYlF
VGLSzXhB/ItuHRS0sztZqPlkr1+HoHcYjaMPVBJRWvlId12GGthKJNAgqu/+6IrZUtdalWjBODMZ
STi5qX45XPpeO6cO9v5gt29xsHxofARaBksUWns02v4ZeFSSTH+ARfHoG4wXau42KHLp0qRbL/Hc
FozgD2vjEoavzeTVNUqGvirtigcTR+mOmlYuL3S5ct4bGICgSHHa+SPqOou8b9shIq9ozW/bh1Ej
SKXQef9J9a26p8YL9EpBTL8VgDDoRbCPwbTM0FTebYzONZ46rom7ULUvpv+YdrjqPHO+60iNMMxr
NhRxotGEErRJIus7rWndkI66zzPd7tqQFmnBiWqFJClPeL78W6gdwcYaOMrQoI22N3X4LDs/2M+G
f5o8OsdximKqbEpONFG9mXND0wHCEAMsQG7aG9PBmWH2AZmlKpivlETZM3kV0hWkRDnC8jvWWLbZ
qSbKCpXv3TnhafY4zxFNTR4nL9DfccjbOlAfoceSAEeOUOyEnLA7EwYtu6idfdZVRS1uOVNDjEB4
YThXPLgmF+Q/RmGirsGN2Y/xT5svkeQgs+Vj56HQjhrIEEk1Pi2mQIVGgk3PbqC4B6cDDit48i09
dzpxo/f/CRj8PWAAVyz4LwMG+zr9P//xb+mCf33Lf6YLCHHh9wRm+qfPh5jA/0sXOP9gf8OG75u2
E9p8yX+mCyz7Hw54Mts0PWF5NqnHv6QLwn8QO3As06QLyCIDGvx30gVwX//OKLMs2/Qp2LBYKwTE
4OXP/0IkttwkmMA+4jv18Z+scp1HzVGhCVOuK1R01dWgw72HUDewITK13Eaqm3+nYmTP7rhd/ZhR
3pKu8rjQnHWINX9DfsnITrloi57Zi5V368oQc3mfFrTP3Meayr+DYTI/OkUaBL8Wcu2lZrQfmkwW
h4KrD/hKB7tmwdYURFa/88KmW5Nf+8kGpM2iGJpnvLPTyZ2z7teMT+87o0VyEZWqbaAdUmKSLP5s
eTggbC36vRf0/dkczfqRXMdIJfoCP+rBbUBasgWVtI6hvnof+s9KBUQAt6NDGcHO0A0roTOVDQ4W
wauyLlLb2AqRJZCQqtB/E0MfhN+RiOBhuapR7VZwYujQMi1scwaA1+7BcOiju8lKxfOuxExUzner
EHeO7Lv2Z85GfNIxKuhraXppgRHcy+ZNCG7qLIeGWyLLBbXtS905mwXPtl8wiXytlnFgVZY4A0yK
DGGV2kGU7/KuZPCCdIvN2zVs/hS8EZsTWU/9lAnoBjltdnSPtI1NgPzPUq84WpxjDCIQnCAG1Kuu
lJ64g5XAl8CRtatHJA6176cUZ5451ve+8ndW4VEFmQpMuwPUfzIKaxB35k3iadZlbfvdp8z657YL
JHgIE3Cq6UhYoBGu/VoBGKoKbYFkiPkRF4JFbzTfooS+mttTd0mL7HcyJ8fS7e8ngFc5hZQM/VsF
Sqa/NpKf6geDurPYv5vnMGt//DLr82X8zgTTKZ08wrFGjWQomGlcCMXKxWtWR9W2KSMEToWY8JDU
iqo7lyje08gxwVs1XdydZB5+G7yy8S6cTBvrLSLKI32kMd5mFafr3pFZdFTG8F3nFKYTpWhH7Ouz
+EmqadoGVUYqb+baI2ZOIqncDV5ybnsfylFFjLBxq2M5FE9dAcG0p1OX2MfvtssemHNkZwWqpW5T
rlao+9JGGaHnspNsfdFkbtRgPs21de7M6FMHwbYwvD11tORqwQImCBhboILQhVJANkEi+fR0yQUn
2T0GwHyXWkv+Z3Zs29tRax+eZW+bN8E0wj3wreCqh/GMW+GFPtrbAhQHn3g/426hAs71bpGeeolL
ZGVA+boTxfwWZs4nA2kcxRFogQcjFq8asFa+d2NHPvncTmDrATA4FxTS8KFxxM6enPcysdhhDaIL
J1uI+ifOyjE/6l6mODZts6MDk2nQlc6oPqFv1VAtdsEUkSIo501TSuNIHb0gZqy8Zjjq0kq3GqZA
SBQXmaQ5D/Q8fVFF5BEimWKXJAMZxy7OYVaE7XxEmp+YH2dWAwIqKJn2VnlkJidF9HjuaRx0iVu2
YzBl18lVOYAUr3XDcySZyh5Lst+CIwPpUNrCShtj16wa4HGRZTdrWgdjSnrbMmecFtMRoMI5PPUE
Oa6O7AJYKNVU4ofnzBaF2z/7fmwGefP5RyWmIlw/TTIY9XbA15PzxsnlNtfYDFQLHv5/asWc5Pi3
AG1hoJjhxKoSK3YhsFAda0udRhwKYo/K010dBKPY1rG24qMf9q4LzyodAfIAfE0lhr88azauyxg5
HiPOklCmctoIs4y1D0BgLW8dwC5LzbjC3tBidwm3ZiZglmW1zRqkYpKr2D2dxuYon/QY+VoIfDm8
NWJEO9OIsbo1FY2Vk7nujUrsU8qit0IOwztWzlvLLF+jpLhrVI34BNkNjvJtYvf9rpq9lMgCIJRS
6G8RzeJeDrOxj0dXblohm81oWlg9p5HDXO3hJormnRZ59mFKB4dSWse7ssJfWbT2XRPhB0q8juZm
Cqgg7OI27euZkVLIODy1+y2aBSphrWm4bod9kEEtowCLZKqLRY89wLsdFwZL0vbtLdVHwbqJIA54
EKCB0xTVDR/daF+kzAyj3M0I8c/6YqUeil0U3lsJXlrtDoA3+CGOXQTAifPptqMo95SWgdrashkw
pybqMqtJ7wOntPeDN31mSr7IioGHIrnWWdjNwd3R6B4r8zGnIAshC7yL3TxXdWECLkfbQ9rCR843
roco5kTsabESJmi02mcXSfiIL/nv35yKz9CwJwhTDT1xmeN8oIvSublQSgwQvxu0ovI57EsDTZpf
PRLgE1O7rSgZHcx7bDDZLpjnaTsTO58T4ztmT0CpExUO8VxdE9f+6AbCQh4eqXMrOAmtGJBfGVCr
MwadAR5ihFySimzti6w8uI6DeJWnafcI2ju7G0bX/saymr3E/li3K6uDdLGdp8B9YPv0Dklpa3L8
zE6sJhYK31iXvbu5wQDUt8x2Z2Efm0Gvjky2CbK/ATznXmZqKME8ynO/G1SPbhgBNnrPEol8k01Y
8lVcQdUJmNNhWoirF4KE5VsLe3UdNW35bgLvxEamNZcI33Du2TmkJk/Qy198hgp1ciouV0NtDi9O
lamfsZeTT0K8UPUn4LiQj6wV3yfWbN1Rn1UNG1HWEalgAFHTXENlmeb5FyXP5h3mueLkISntWz0Z
N4ITV7CZ4qZ5zIXj5FuaEwnMV7GlPAZJbr8FmoYpt2OxooOYbasR+NOIAjqt/hGTnd8lQkfDsyFR
b51VlqD24m5lrJzOrfK3U2/j8rMBNdrfuUP91SbIkvQxYuFd63To1yb7+lE6meyI85TmgzYH62sC
vrZjs7PRogYqez01lM94+Sx/04HKfkT8gOs9isbZNHMby4NEFVilbT4Na18G1nvHuGux1BTYK0I0
ST8q22tfm1zZZ93k92C15JfJWkdPXz31GT/nOPU7lHzzfkxz3H+FZ5abydfebV+nikjPnzQsDizz
K/fHtDiGWFQjfNB20nLyMMIq3tYjZ3LueMt9ClhmjO3I5MCkvLAHLFrU7rgrfM86IXKg/8Qjy3Ia
cD5OlyvfZDNH8Y0CF4Vb+mV6X8CW9LrkbV6ulKM7nIqxOECB4zWbY1MfnZweadNky3YrELOGFxLd
wZeBB4pInuSHV1+Y/AAxSQ7CPFdTtuGAs2UDuw7ebAQr1ylZ2uOCQ9s+55i5MzC9OjuXqwfPTM6n
flebDnf5YLnWBzW8Nnxky4EuEH7L0FVhAjlh28NBtugHLrs8bjTQv3+0hQmWh+o0KsqiPLgcElbj
okb0HOuDLeh9yaPdNL0hEKbnqh5REUlUraHHV3pt/BFMgj/iSW5hq0zAsGQvzJZ8JM85JLCSBVk6
7UQdthv9R9NxqAhB31G2ggJYokn61R66LimF3p2ecw//HK5mssAYOsgrMY/nGuyuynrwX4e49Gt8
M7Lv74w/+hWtFU1+CO0aSCA3DfkKFmZodrLsALNFmhdjqsrZ5zKRmPVOAkrUG1mF6ofh+YuXYQNg
7XVvZTiLO0QLO/h2BXG7s3ab4dV102YPjLn/DDy06l3O3xataJKIbhP2mnd7ETZ7u8IB4qB9DpEz
RzzMGJ5PjTvkydYN8ijGQWTSlUiQNhhuUsKqBXW8U1nQz5viP6/b0rhgbbJ+nDqt121q/KLwm7Er
Zg6iHxbwBzT7tvpS/JY/DdO7jzwso4dQQuWKJy1uKB5uz1UVDTMp0HF5CeV3aoTqGmqCoWNX1sfU
4mZSeton5MtikpXh1+DqgYjN4BEbNnk6HQu0gl4gu6iWE2e/fjJOFKQaNE4U7oHNXMGAskjD5tZF
1gPH35yXp3Hg1xZW6m4NnWp+6pDZJ7UB41PlerRaq7J/4KrrbabGFeRkkeXYusQZP4R90GTPQV6G
bEFpHZyzrCwvEKnJr/mu2z8G7lBuDNlUFtkmnkbIZv0TEBxYzVIFDOJa+IEFA2JvlTYdwhV3FUgy
TnQzh9BlRsMsD1NemwydKg6lk98dQndCRsdrgV9npKXd0RktcHIub3NNN3nIyg94ss+4qRms6a7T
pdsptIgDUfVIDBWFtm5K/QiO3n2i+ZFC5qGMOZMYrn9hQtahVWX6MFuyfJozE69EAhbkwHtJbLsL
XqAn0TKAcI1ECEfCDhY4UURs2i66cNdZ89HiJ6Qh1vD37DoMu2O8YvfGkgUE4G1tSO2wYquQnFHW
GxcfTOQhC4VzgIOrt1XlmXuJVxjIRcnHsrTs8qkI6/oljN3iaI6hT6a9aesvAq7zg+OlDLorj9Mk
h45NZw7OLdDa4YTfw7gGo9HDkKkKUuAYpcj1VLdx14TfKfQAwvezc8y9Ub6TT+N4wvgcaH4CCUgx
qyJQlbEy9ahfiW/Ve7/BhKls9v0yJXi+8vKRNyIc819cpgM8DP3Q7T23ZxVQwtnXvGDY99N5j/9T
7bljZ+BcULjxuWD868IzFnpnk0adPLUexrYcXvWZcRdl7T792oYqqq1Ryoly74VBnpjtM9gq6L91
8dESlNmWFZwZNGjcgRxYtn06eVtdAp3d0EnvH0TYDl+IHhNejAirql54313rQg+fI7GpyP48AO8F
YBdYuDHgaz8kbtbcYpAnMmBKL1+ZNHB8BdS6bt1u1ntjEQpBrbQH2j/EoQ+r8jFgqX2heiw4Ankd
v63BrhZbc7wFBmfzS/TGLmhA4WVe/NyXbnpR6C43puVlBxvWeuZayTMDk+7AVcDgfc+eWiY5hkrw
sTidvyUdix+M92ztVyw77LKPDQ3oyUq6osIhaXbxnVKRhzvYVEeeqRhOIDGwsVFi4Z28RhhAOJ5C
Ak/6BNMxg9qjleIEda1m2MU2HAi3dw49Y7RXSPD8P7seqpEpuZN6KiRtF0rSULUgCFsOV779JYmc
al16dfhcE44rW8PZW9p70yXD1wI5nHxNXT105vxihEwN+MGig8jNdGtB6aXiVLB76c85S14NExYl
x8IGYO/YHAuZvHkWajuycX8EkPlNBupcxATIOq+xt5RykBJT+Qzicsg2cUdRRxT/8tqGY86U39tu
k+zZavY0n8h7jCVg8TKX0V8MWJkIhHHL5cO56yZP3TV2VdxoE39ZO7q484k/IlqNz9yn8Z1wD1Ai
QkiYvnITp6Twk3hTKHZjnH3DOhuzS+BD958VBCs0fFs34jIBtTzge3jvpnA3J8CIk1HF+6LtNJ58
r1wZMk5A/rZ3ws6mNUTrnZdJXtckkLcC5WodLvZbZQaXutEL18IC3hMI4zLaLShb2gdWcL2L275h
dbBIw9e6nm4pqxHbxu+ozQ0rAvtsIoal3zH2f+QEiDc2pcOvYIqcLRua/6x4ug6dMb1RIaxWeiKn
NdH3fcY3fjOa5U7gPOEhU3y5kRh7zAvY8ObqsbZbsJ0oiMyrfXHX4fRKyqlczZm+mxtrZwBzX5kW
8bTYzc9p7vTEwcqPxsA6W8TTbeoQiWp7YpOJPX1bnR5XCj8COtsIcmoqu6NdB2+ZNyFnUFCyykDJ
Yu7xb8whsraDNWGqQg69gnbFZTLH504BA2prUE34P+9mWb+nnnwqyOLuq8Y/BSYRZD/LgE0tJgyO
DNc8nI+N5xzpIKFPwOb1NviZrESrXYE9weeot1JWjSIPMwQoCoCMtHuoxlSssVdma8jZ3nqQHcnh
2kx3qozvcztDdjRjSo6wOKy8Ydg307L7pc0LQ7d421fRZfSmnRM4Lc1Kcp8aM7HmFGCT7t7BYzHz
m+RbmoQhC2t3LzShtwbTwwv+gOIQS+TLhJzxLppU/k726Ce2m2tOAffBK0Ouepl/Atj6MDTVJ1DG
j3wyz25LXjsfYCzEVQZ6S8CUbQddvMcW14uW+QtB+53wafAJKmLLXdrv0IUwWGWQIaDnP6GK33KE
g5VAOGmd0wS9673w2PjVLwP8Gy5pzAnD5DK76dJ83dDNsHaKhMEg9ocxTU5g9k9mieGz7YlYZvDl
VgrSFqP4EaN1mslbw+NY5GeexWY+g4Sfrb4nxENIWAwZXxO3z1Hsso+FF1233XZI9LCJ4umBERFw
5Tl6Ms0KvF9xNTk1HA34o1yR55kX2H5jlf5gGkqp0dQ/yYh1p2bdXTAOKZyVRK77SoOXobJ6I+P6
KM0Ovy9w16B+poGLdoO01oyJk2c3rbDPt5yxTWu6l2Ho0FVfn8RQ28Rup+wWu/nWzucjgt15sotL
rGsyms4uTpzziMCMw4ntvUJ9LuatUw7HLKiPocSDGuaXwuc4p2PimBm0lnRmcyqRGkhu7LHW5JQN
MJNsgM0nzfxtSQDq+DPdKSFpCfLPRcStau/OjCYiLXGOnOAFJPKNNSrP3qq4t+Er3MUjROeojX5H
LHfrqAiOUSoNzkiltZbcUDLSlLLgAzTBvIvT81z7v7E0R0Qqs/JYkImWVVvedAmHIPz6INv5xNZH
8pwnDy0nAYFb5e2xGT26raC3Crv8PdfAT7V554bF1WrLj7xzvBvMoskOxZVlokPNsjhVZR2e+iD2
96PvXNGuuq1VlR99NR2G8tdUqE1Q6oMc53dQsB8lVkbH0+dZOzu+Lzi2zfjoZAEn8K54rvwlEzbQ
RjXfqGh4T6p6PTbJU+s2h2AEWBcHBg9oNgj+G4P+QNxkvZ1c4yJ59P2RFvIouwxZ/2g5NdpuAo7+
KfZb+1B1ZbQ17OklAZAhZCg2iZ2IrTKL9nEAY4zQK7v6mP25yU3emNkbtxUko7nWVsEhd+b4Z/I9
LGIpZL173GKQjw3L7RMQjz5xbTIYqH7KFPZ7AAwbHWOK9ZfiX9erIKuc+KGFs8tAOaqYEeuIb5c4
qAX3PItYSziiegVBaW1NbsPECAvCjeuK3To5uyzVyWvagyxOjfQQliFo+zzJX1gyA/tpxPRabqgN
sHAdJ0w9LUCY+abrSutVJlwkAoo00lIV+zRzZ5oZmMsPaYTfIrKy57IvZorYFfYpWu8YHBBDc08y
qzvcDBVOADhNQyPcT2bOMWNNfGmPGOBADyIk63VTjouhHH/HN8EkY1iFgqfy0aRISt8YzBCIr4n2
mGdpin+4D/xjmZW+c/yfaejfp6EUKS0FRv9/3NpfSpuWGsrHofgrd+1f3/6vyShwtdB2UDwcxxMh
//jLZDRY4Gq0SVp+4ApBn+RfJqM+fyYcN3Rx1lmm7/6lvMl2/4FGyyAVWu2/gLT/+3/9W51997f/
/deORsv2l3amf6POBsLmP8ImYk+fqf+3xm4yLSlDOSxnhB88WPfcNJ67hTW2s6Cgk9Yt2uEX9Nnp
LRtMc20GFephOEjryLxEr2v6HB9dByy/HbfTAVcxzEO3ebX8YviO2wBLFhOlaz/Y0brVMW40/X/Z
O5PlyJH06r6KTGuhDA7HuNAmEAODDM4zNzAmmYl5hgNwPL0OWH/bn5VVSpn26rY26+5KZjAiAIf7
/e49F97lpq2T8TaxZWGx2YQdvWBORR8yscyn0SjeiNuMd0EzTvc0p1XPc1Alew6q87mfE5QpkSJw
QurxxmtT2zzItC4ebSsHhyQy3e8n1Xfu3vRicE6B6r1niwhPFlYeYw9F4OB1nSDDdSkzTKJ4LD7x
+/J7t433ilfT21qkpuog4KFrL1gWfGpCH3vOZlf2wsT4z9wmh0ZWn0lgbWk91iSMhWkNJJcZ8zTr
+Vser+HCwDQuXCaR1y2Do8uahqpX05KZOsaLYMmyh9ZwX77EKebElPJkROamal7Z8W0lX22DrJs9
5vND2Y/WIy74YJOD2WZoHOG52k7ZxCfmTyybqujp1UjtuT6xXEp6GwqV3E5ZweQiDySD09wgU/kV
bjWNKf6s8/UNcqmokjXRau+nwS8Okz2znqZaseJimEnZUNnLxTT57GHjgRpLvN9fehsTf57Fao0+
JkwQvuKBqbDy+1LSBka+B9J5JA2bQS++XL3rmxg3DSwFJttgOqbzqSFFUY9rmpWClWt/irGt2wjo
N0wO/C3B6szYdF6BJ8pUwUXKF4l/0MRSo3XVPGuHptTM0hPGfOhkN9D9zHFXZGN6rm2HeTJNCD1p
e1HfRip2P6ZRe7scnA20FuaxQ18iGxXXE25YvfX9WpzFeK5gX+BIOQoB490vZPKkLG841LMfP3Lc
zrfjQK0U4nUnAKcw2VtLSlQEnSySV51w6pObNt5tAlH3WFnzdzb69GIVU/Y8+woYbrqGfWUZvDac
SR+jSdjTiiBtH3scMTugT8Uz1i2ZkL3WfEMRmP0dm9zq5CKQvwX4YIwzs3Dp5vgKkk5mtWL2MJpe
fs3Y0I8ZntHuRzw6UaD8a2fi2xyXsdjaUqkXsGDjdZKCzOV9FhlzOqSnZJcL9tiW5wAgAEkcXZPL
pJSgcJum2KG/+vG5SdIEYFNvQy3wYBd4571NUhmLFYZiBPJ+vsBeRIg8xkbkHSfXIRlXLR1HJIPp
x4xnGaMAD6vo68E1ZQNKNZdEwrkimW7ar+ebnTnWHGJ3UucoZNYuqyio3yCB08FZWBm38vqE7GAP
1tvuz0dnK+z5lj45+5McGmP9r8esw6r62PBrHjAjFIdlcTbCyH2M8UPPH3FSh/wcT3Dv62E+fT3Y
u6+HvKlGfVsYhJkdN/rhfO0I6q/dQZOMUKO5+qL4hiAWO4h2tOVbzZkF8flro+F3fCL9n9uPnMTU
3VSBGqD8KO2n3WTV8rWefFaK/GsnE1vrrmayMiYTROnz/sv/By16zONP/2s75HxtjQB/sU36U/xO
+aH6yN60L7CWdO6xpNToNCB3k5F6xWyCfqf76APaDgrhaPZHN61vMf35TCGSF7BfjOrg5GTC6TmN
2h/1wBIfcWb9TErOKkpG6aWT1NnVNJZnwDIBgwz6aUj8R42XrFPelU77c1XiP/WLU5n4n37c3hsi
O9Wyuw04zmy8pJ43cnbPaA+ob4uBYY207Nt2hnfRLM9RLD9yBb03yLsdNXW3fNIefE+dhalwy4d+
tJ3nluoGzDIgGiy2VoeqWvQ2C7hkfFPdMzZEcQgA9Tb5B7MmoAarwT0ud4Znv7o6uBtQYHi03Lm9
eGRbCuXNIupvmteNoy8iYTL0B8zfVC+JB+05GS+DKfsWm9bJDdR+9vmN24SDtDeb+yHSd5QTX3iO
yvhHwzVn1y0R51NRg6HorGBPhuC9snggtQHjOwvD/1gshwZ97DzlnMDDxOSzdm2HO4CS1aYqTgZD
VbyoH7mTvVQtm8jYv4fOSWbYephqEweJixGklylHhn44Rtb06uPS3bhT0a0YKj5gspX6PS2RAHnu
7Gg0DXBcp1ZN0YboPjwsS8evlEvPlH3jryyBL/DAymOoGcCdrUHyrxD1nxnszsJwU2cgh74y0SS0
nwanWO5yG1AByU3S3DZPD9tfr+JqtU0Vq/+GfTcGTJ6MoD1a/6DsxbuL8LI+yxX0YLITPZRDn0fj
1q7S+qyf8bbgU7xJuIf3SN8B1SJ2d+wU0k7mix+MZpstIcXlOR78eD966ae72A0n59I6awbfZ4bL
mBoFUkdY5lX0vbVxR+qUMEdqkgUqmtHYmaz3NPokFaWFkt0KwYJxP8TRqfAdxv4Eq+nry7/NHFAN
f36i0Q0aRBAn77yT7nbuituK9fjMbrMfhjLGLb+BPDRV/82v0yqkCq3Ylzm0jxELLg6KNrE32WSt
zuXgba4VLJBmnMPFrqvjpIVi975SFDPlhcVin+RYXhidsLaNcO5JxtjH0hze+iYBrFVxguFxXoib
ATvXDgHgEIzDXZy0e4uRGTFZu78CReIw789hxOvuiJkeXlVn3a0xq8xiCc9xiOAOTc1tQVrzrGYX
x9xlPmtklO25w7FDERQ4793mxNDgil6zp7xIP005svwzNUG/j+9NEnRWonfliH5ttajQobuq0xtM
6U8GYcBzlg73YBVWgXEsZyxufyN+lIdl0Lx4yjj4vD3GAeQR2Suy7NvzHYpddDOLaTisvquNzKI6
dAf88D0h2TKzjn0a8UNK2OpUTzSN1MXwI8Y3XKpc3ZPjQW0Sk8emTL25bmyDo62X77oUzrbzVbIr
e0JpynHwCSWLqsi3VkceU9/GOfvGlqjQVFwNl9LPyx1Ys+DMFFaLeTYRVz0MoTPGQ9Y2UeXMEj0m
a8MhKK3Ad5/mdkb/Gmv1tkw4dg3zcwgg2YNH0Ue6mE74BmBUMkcc+yUIs8koL0f2SmFVE0p0fMWB
cWI1MQMCU777Smrryu7i5Tav8YT1QXre4jzeNLO2dy055C1vYWEI2l/hazljicEhEtj3VjRfw2Yg
HeO0d/UQU/8Mm2lHz/sudpMs1Pjf8DD093WUHKmycB6BeexNqc6SkZEieyqwqg4RoBJii/M+ToJu
lviCBXqEsGo0G0lt1IZoKyAB4lbJnil0aOBqAoLlmjiQhdjWHl2OfjS/YCBGYRlxH8oMbxJmjGhT
kw0p9SIoF4q8Yz7317I3ClosaZ2SzS4fxoP264MhltfeI94SJPnwfWgdsHWra24phlefOemtN2Tf
+azIozQgP+1TkyIB+YNHZTYU2nl22JYHEp0OTv73wBqumF7sy1RfZFDwmgpnnaubEVJoBQ004onq
Jy/MxD9LawKVNAO67CMdzr3k95FOREDRS88bK3jDmTMfhjw6wW+iV06M3/0GYyGGQ6xrpU1abpCg
wZz8IS16c1NKJTbOwg5PZBH6/EJFTZ79iAz7MyqXl3lpdxGtUY8WHL3Ea3dQkyhupnRrj6OenG8B
gd8ViB+xow5ZlRwllurruZmji3khVk4nOlK8yehihIWxyRrp7FpLXbIJWnFRKZGntXl7obwKa2R/
RhER40YnfipjBwmhThrMCoRKXdt4LuAcMPtKaDkn8Rjy0VsHpzWDsJjYw1rmQrShCDqOaOuqPrr1
zia0tY3cHgiVVqRcZs9dSw2qM2UY9Un3C5pK21ihnxTqzFoztGKADce0Rx4WyF38bCvOzYTHG8jO
8Vhazgi5djoKrxcXlIBzOeY6ftHDVO/TAlEJkPbOVtMBxYMKvcmyQlEAscTodVWmpMzt2fPJtYKt
XlxL3eo24X+u4247rtPQcyjpMNgPnXlL/cS1W+413WlXsup53owgIVjwEGfs7IUeMLDHE0JlObCB
A47q8Yyv+nVTPYemCV5szJLmJk07d9sa5EUL23yfUwwcjIijbSsUHSas1Jxv1UEPNPvxke2aNv9e
FcuVTfn8vtLNM0uw2HuWbewzhz6KwDPpI8nrYr90fJ/+AMytzpOOsTeggpY2rI0XzbeG356WWoJx
66G2hc3g3LKmosRVLsWgVTRsdA6MqBiH/GQSfmZnb4ybKMZN5yz5eUyQFjo6lImymb0P5XPR6RaG
m2B5b2abdjCrSNGMl8cYqxpeuJFNMcwzbLop9iSruR4N3bVYCUwPvYsbGw4plhxqennOMNBl5xFd
LQ1vwS3NnYmR8dGk9uos9nlRsskfkofPuWrdfDdjgA0Ds7J2DTT0TR3BJ8FIVFzMynVehCXvOh70
hyyKBFaXQlyNBCJjF0+c0XVvMgWVhGF7ZRw2L7RoZgc1xtZj4qXWrtbk+OlcMA/LGE8XMtCv0OGx
ipCA7ZJE37HDWb5nDlXN1JoXIMqluuRGupJxn0OrM719SoPn0ZxmlDXdY45OsPFhv/qYZlGcD4v7
ROVhv8GBYm6momWcnWa0ZEGdw97nbC3bSV4HIvFUuoI1xJ49hanvvTs6eQP1UdN4AobWSUNklOl7
Qun7xs06EcbSeoUY0PDgpXNh8rS9tSxFRNXS6mZw6KJZiqUhl+ew3yLbzEbZb/Z14CrEbnByPQLs
FrGAe6Rabp1ifmMUico9Q5AgDaI2HmU91KzqXZct0Rntot21B0iESVfNo98Upw5c6G72BubweIR3
ilsxzTyJCEvp/JAocoltWt6OkIIPdY71LmO08qMeUVO6aAz2uGmhgRPhnecGuIhyXmGl2G+uEN9a
1/vsGMvuZZXYH5Y9Gs952ZFmnmLsOIFTnk9pzkykhe1AAT1C/uAKhlgpeOEULrBZRfx/goNkbWLO
rRKYNF3UG2zh8xLbXUB6ydYKhgIJQ+GvUyXgPocBg+YG0/HM5om2zqZr2VWhviEmBcnJi5W49Uzg
o4GHFSN37jxqYWbe7n6Ufnlwi+zVN6IgDa1I45znqe12DO9KC/pWDwJh48z2t2jAuEDjBil0GCCv
rTERqMznu6VLzmqOWahSIBKCCc3frZHfsWqN3EQ12TuYKz7rCUFkhsGByTSG9EvTBS9l3F5j/jUj
zE2Ng829EQ9R2yy70kZ6JqAIMWtTMJVAFYKssF/yJr7rMSstt5OBL4jOp5GBLgMVukjKLPjWVdSX
kTxquswk+dfG3RkrVtufmoZQI72Demeb8FZwyeKkn1bju1+Q4zvLq8btjV2MPaX/MCX2xgs/I82H
/Z/uwG3vGyPgxgZ8s9UxWwWEP4KFnqlq65/QRLy+B9cl5iuB+abdtQLBYBsb9JJvmomoMHaqNm24
MeFxPSoZ9BbTuPGQ6B5Ltuxo3dyoJANQPMkunW7isksxR/AcvyCzOQKfGbXPFIeZNLMWBgLQhcYy
oNJV+R1uQUWyir24y0qbDl1wahYqbLdU/GHEYpAAgp5E60blAU5QCbsNPSVy8Irm49Cc6sxNObry
xnZz76QLCpukBcls8/i1hTKAZD9KhsMzf2sX8rIadnJLqDwzhra9omQ7pwZB92Z9mkcyeI+Sepv2
PBim9AyWn3/pLQp4cUwzRLEdeF5mx6CIUPvYmWcPJlzAj3YQswpzGyVsV5Gf8iEXpIG9Y4VsdlBZ
xKbTI1Z8EZOeELbDjThr5DTLlaMC35YQTwY5R4Mp+E8uxSTIWNo9NdiUlVZVQyujLh5G14qzg1Pn
VX0WILVgt/FhJh0RxFKACdMWB5c4MDWP3PN8HAf6r0HjQbPBYEz/V+zg9e/o3zZ3pEZwCfKl7OoW
yxXPsgVgfxS6uDNM5Z97tTLPunmsPoRb6/gkmka/ZTEy7qFLTBKiqY3swRWtiKy0HysNtFkg6mVo
IfWaYc4dWJzuwRzKe8uozo0x2TPpvI0H6wlaxicxwLPOpFnDs06mpgsibdJN1/OoE1Vx8LLxjYzM
sYUVxyj33a37Z4DZz6zm9yA1Ioy/sLJJV26/WD99VurQsW1aQOvNCoTkafiGXHiHB/bUwaz31Qfl
c2/k4IDg6fNuCJyjQw+9eWbMEkc34d/2qOum3Yzjwjm2aZksTR1gmantg+bBYfxXOw2N2XV/N5Nc
pDN9LF5oXeeqiBVlFRNXZ96marN4wUg6WRCO6cNpSBz3lnQv9vCFIuFQTsLy900N2eiBGat70xpc
YNuKzzg54k7lZ0oIF0DZ2Khljxgwv5VZrO8zLxl+wDoKvHOsPGvhZW8462OyfUYumT4auwcKnxBE
5nzXcO/BXBJGcjaN+cqzlrQmngViqZZwWroURvgg52c7WBisJiNmRuDc83IaeM80Nvn5bJ3rQBvZ
WRs00N9nvCzDJoJrNx48owJTkJ33C+vwhv0kTPUyL9WwLUakX6DXiHQ4U9P4HWZV5PMtScYDbRuX
8aWRCBMHg6s5l3ZQlLy9HZnmZ5ZLIO1dJPAHDZAxj4q11TgJ7GApAZ3Kyw//Nwf72xzM863fpgLv
0vrfDt179fn9n8Zgf/70vwKCAfVDKOYeDkFP2tLjL/5XQND7g6LDwAoc/m17xGD+/xjM8v4wfUih
gSWYnvnWz2MwKf/Al8x4zPRokLMtxme/jL1+NwbjpX6Zgrk2fwnTL1tapiWE80v3Iv8wxzaTt7tB
ujduGzckQqalJtoGocgqbpD0CNaEbmn3BKrBcqzdJNonzVRgbS5NnB8DW5Lu3goqvJruiAC6WWon
7t6ZRRndzRL1Jg8pLMAOaMqllDp5x/hDY85xKnx8P35vwmcMnZHF4NL0UtspzsTSFpO9EUXHXmzj
GSM+36rMDO4LHPMJ8LDRgxr4NiGQkotR89Bd4CAD4oVi1VNjW5mqDNEa6CRHW6q8SwqxwR1M9UIz
ehUbF3B4gO1gC0WiI9PC35gGQ3fyMwUI2JSJvmFkNf1YgGWAiwPe/JzTG+RvFp/bi2hTHXCMY1J2
zolmiLZ5D+Zdg42jYBmf5odJQ0i7LzOg0NB00+A+rWr3Kaq77imNhvpel3GNccYrzGNQVWuvnnaz
+8wV7bXntc4ln7q1FsyP4qhEl0d72XTVW5Z39WOkMf1jrQMbLBcL21tddckP6mfRoLyF1YRlHGgk
uTSzw5fKuYkldp6xRERF+g5Phz2EwYnss5VVd7uYsnFXR56hdgPAJHanc9rc+HFnUW9LOx2dCpEd
nXIfYzJCa62fMmdmi1YEmFKYLKDubeiZyukBSZs1Kw6t/Ypq2fGpg6JEkl30NEtHvLX7jEOnv3dm
03puID484kxL6PwsXM7HMDR4oKUgAJJ5Vhfa1QN4PbJdHHAJ5dzjP8BQCCgxu04HOz6ZPUnByo7U
Tplt96xpn8BeLXE7Jm7x7OBXvExxWyC2sX+Aw1bgOkXGUOxeGhww1NqCLDnlLPFqA78c1PDglhQt
p4kk6tKV/l1NYpzAkkrMmyrVy22Fr3JlLs/DeIYlzPzM/U48EnRBlM7SBYWm97j2QkK4XYReVzqX
OgYO71g1rQ1YBqcnwvH9q8E+nKDX7IiXLIugctPuM1PloWZCbAHbx6MaZUEnB+3x9y7HpGvPLvWp
DzI6wAx6R+7TIcCQPA+IA6T4PazNJlJgu3pu+3aTuvnyvU5mSUgsN4035Q3jc5xjtWBXo/KHCinu
vsYWjmROYSWNQHnt0kZiUDJjJlUJDtHvoa50VdnDq/eoOICHmtP725XFnTtW4zerH2D6ZQSWrqG1
La+RiUGGtpC5eihMV95O3WiJbT4V1pWTeRhlYBshLk7aYj+fWjChfIK9H5SF2TeZa4JzqA1SeWAi
MO5CopqYaFmNC2wVS81jiUP+oRdj6W4gpZYvbWaQq+CcnD9D/Z6LkF2afseAM4CxlSZMIR+j25r5
4y/2o9Y5d3wTb5kS+NKh57jma9la8UuAUXHZDd4irtTi1EQllroOU8Pvyo30iWfSM0ksE/braJ0b
9txxjTCo/4g57jDDgz+csBtlELhJhLFMYQvN+Bt+MGbHGJZn2j+h9FfbsmkayS0yNSc+R/8N+xTn
HyE5hca0L847znDzk4vu8+CInI5FY86aq7KoKohWLWmjDaX1AOs78FRFSMMh92/DH7lDnCTm0JTI
PJS2MqaGvuQaW9JBJf3x+M5geveG92MuQMscSOwEKfuVhlqdxB7YdzF7XFBfwUod3GZsrVCKBV12
SQWstUw3JJ4VbOR8FxNtvRoyh1MmlhuEarvJsheGUOlDEOXBTZmuXTQT+CSDrfGE/xY/qmVugChA
pNKJW70TGWwwACSSzxCIrNqQV4q+0QzSaGxabca93iaUECVqWFPfblmGyCsDg26zLVImLZA2KIwz
0HxF6XvXgnAuYV5bLce+7mO8a2qEBeEviXXqUX0f47xb55MdsEk8WOjBftdA6hXEOH5M0ncB7ZUD
A63O9Lxt6luQiKjWmMfQGdYTzrho48UJrOkKdboQW9ha4kHOHva6NieavKEOAo/alAPKCldAyi3y
KeNWmeZJtEPVEYRfTMt4nFK5PGJoVCK0hGJqwhhNvdtZL9uQXCnlXQvxpmjTpiSLw574EBVWTOOz
ZkCfLOfFkBsp1ppgs39AQ+u4oyT77YpjKe7gEpx5bHvDgjDSTPNOTM1CKjuuICWOg7SoYrcAhJGe
CG6NihhbGGCbti5Az6dPYhkVSYaBySknzInkrJWtXlPu7uB6qMhG4XwwzJ5TT1BlR8qM6vp2ybXT
hNj6CVr6DpyelmjtZhQsMAy+284JeZy7uLoIkYC1xG33PsrJYBCsIATuedhjZXRmHmewCyfQbw7t
DdkW+J7BppXcytuCabe45llEZ5HizEt1aj3YajP7mlUI/pKVnhcEo8rLaUz9G8INgE/luGAIKenf
s65NDsFTqBZz5MNpZfkJUE308H6XaN7qWSQUhCROQgkQH2+3tfGo0lCvent6yIrFI7xQNDQgeAQZ
7tLWI1nQQoQzmIvQGIoI2ZXfi2pGaU/jKmAioQdn2wJJvORUOrxEQ7R6P+revWydoSENs2iOQDBM
M4FNJRJ3o6pxxhpEbK9EJDg9zbGGmi2mQADkMp0CA0SjH5EcMwa3fkZBxaLpE6lL5b1zDTQ/aKSD
2GXnwr6j8J5fqoUJhm7AfuKt5zgyhCO1ABALxs6/Fg0Yp0Nk+8sbtHnzkp3naF74ViE/J0dIzl5G
gezZFll8jPBgLFibzeoaEVlSudaBYNuAHUN/mJOSm86bSeYlukTzrG2TL3AEdPHAZg+bdKtcFs/c
7IOjIZBHWxSCdEszmbq3YjmnYSX1dCWUhBOHVWS8ZQYDEUFgsjn1TUoupI5EceWlE27cwuxpI9Lt
HGXwNo3kGXRuR2S+V158OxG8/KTPc7qnz22EU0/ij/1plfu3JC5jPhyvja/bohzrzcjnv7IXxutJ
N0mHLlswv0HN72+IgUYfedMsCxgGmjXR2n2eff0QF69BwvMbejHH311kFTEP2Mzrix27ffuDcCVd
Dr2FeZTK7QFNkoKOV8d3XOQRRt0fsWg7iLtR7vub2Z1YGzKH1MRG1GJ8aOeyLAlR4O1hJyCBuFiG
7n8E2l2YSYEbTEPO4XzY4GeJbTe+DTAmhf8Tgttwvzl+590yl61uUl1RgGf2GVOoKBY3Fhd5tzOH
mGLgrmuonllXeb2HHubQujAPxbtXtOayW+hUN/YG5RTBtlpIZZWAGBr86thKn3FNReV+tmSUb7Fz
+u1BICpfThbm410MmqBA+ECSWLVQ1ZKKmxsBeTbwPvPFg0Nm94I/XRalYorn9scpEQjFLXmBlyXP
awwt3kQXV8cYj8/Qy+yDXpzECsvSj3skqzlj6NHm043Wtg3afVwWRZALgLsROGzyY6QYWpbcDIvN
gJ3qtagWJFXBviD7COJsZNhuxDTxRCI3/AOeI1BHHmmVYOtSJTX5fAtDld1Pktn+O1XUAuD74ubx
o0KVppocIIdgyx0LCikoIoPuGzin/ztL/8NZWnCg/O89petZmnP0+Xv1Pe3qv/hJIazyo/86SOMn
dU3LwvXsStP/Osb+v4O0bf/h+wGnVwnvQTqcmH86SNPx64LrxZdku7Z0HM7fPcS/5D//3bDkH9J1
XAg90grwRfFz/4uD9C/HaGBMnseuAVOraUpGzL8co7VqxoxzG8z61R/RMnje+pG7/Km//MXF+rNr
lV/3Z8uq46ATkG3nUCeF5XDj8c8/3u/SKu7/89/Ff9D9Z0FTsJfQkBSRCnJh8O5AiSSxXrY/fQ83
f/pgf36pX98QL+VZDsdwD58uRtzVPfvTSxW+5dKNGsMoVW1yAR++2hdr3/XvX+UXD+76hvi70W0B
E7ke//rrq9goDyVTUU16LdHXHUyZcyDMhKy0VV5nTVk++pYlbn7/ov/wKeL2hY5mm44ENy7/+qJ4
R2TXNzYWXoMuhVF0GMbsobwVg1H8aRz/b78wS/B3/WQyXt/gai+2XJMXQ8755RtrFrdbAs8gyFXB
JQ/ZqvQkFNfUEptg3z9F3uj9oLGxf0E9of+THdV0qUsPNh6uy54k5JKVN5ALoidnqHCM1EHOg37B
CtUzOXWtW90notrh9W3YfXYpUdTG9Oe7339kYjVD//V9SHNFSPkespTkP3/9zEAhZ9XgeXM48TCP
2O4t2n0BziPh/8R5fCf8EZNqgpp6l1M9YSNCyiw9uA4WlL2dueN7lxNPiXtwzdtWE6tbhmgV3xvJ
cPf3v+z6mf76u/IrOoC0XK5d55fv11Doy6ZoYO7GjIXJea+036p8xVbGI2FqRv9cN6grVcrk+Pcv
/fdLi/OlSS8N0p0krYV//ee7xmgZjmmBO7wb/Ld2GUElCGVe5zWZk//1KyHYOS4iovRxxf3yJuPe
oTgqsJawYnZA+suUEcPcDOAFvNvvv3+tv68FZHJQGuk7h2mG9PjXdxV7wB6hB3IRcxbaDeAmTMZA
579/EbH+Lb98bQGLtCWoSAks011/i59WHHogYE8sagzJXtGuBZ9gk5U4u8kFluepWuqdBxmXirjM
vgykX3x3Si3+h1VP/H1BkgFPBehsvGEa3H65X/VCGJMKqDEckCanTUnlyoVjtGq/LF6+LyOwomUU
uzslJjzn64TGztf+Vdzj8k0mPuQgcjhn1E2XF0kdM74dos45DaLym//hMv+Hb2VdMx3PR74Qtr8u
PT99XqWTkKUtCJrWPPLIaFLzXRJ9Ofv91/JPr+KZgqeu9APbXRXsn18lnkaLvEE2svmnZpwjtAid
Gk7V71/l78uLzfPbdwTMS8fGUPXXV8m1BJgfSHwE00oTYv+4TQ3OJOCwW6TjOdr//vXk153416vN
tlmUMRMIjD+W9cv9Y86BlyPpwDVrG4wTMgCGtmHM2j9JRtcpRuHecumKL1bqwzy0D9jKW/LujmT5
y1XgP8uEsOEuo0T0m9tnSQC6qzVfF6NiqE2N+TyBdMvUEyuBcTfMQfdswb/jBzi/nOWBsr9rNXKI
LhEPyj2+KZodAi2wInk2Q3jMS15PrIKzyg0NSYhRbdU3r0atUZ30OPYPPB7nJDRJmT63YzGBZ/DH
FI9e4cNud2GyMftSxzKawDupGjevVwT0aHSc0R7m3qSsCFc0SgxjWYMeFkamgJ5jmxg1E9DmMJbT
tFrIIo4ovajGV6syA2AMGtqXmTFVp97SW+nOLaIeoq1jBcys/OalG/r+iWQZmr6dgcOihHqwcb9M
1XLJ6Y+mqkbyx9pp5cb6RonOj8MvvoD8WxiEYpZePQcaDNLO9Yzs1YVGQti1deanoGBPv61SCEGF
9sQPtP4o3gbQ6fots8nlCX7KVIYoAU681W6lKd6pbPOecwGOo4VIZxQ27CesjaUm0sPV1IL0hcTr
30I4HRc+wVgB4ZQLU/agBHFDIYu4gjzeUUuZNMNr6wFJgUdtqA7k0Wj0+/V4XJ9iavpQXObBzI41
kNhahTaw5PSRJAOFzvBrZRaqoWpbfhhmHV1g2txUTGJR2iKch4wcKnE+VAtWRt1483GAKIQqKzp9
SZG0SbR38ICMpK1De6STYRLZjZ3UH4nngd4yAHBN4UpZy7DiTdjhxjkRVLrDc8UAIrzuSiCRZwib
IFDldnS1Ht4hxrnVTVbUYLZQJhTajVPY7cRIop3dC5LOEc7wrp1PqGvGFKIIYsxzOY0B0yhXFl3q
GP24xYXsB0CemGOE4ITwCvSYAx9hu/Y0mqe1B75cDZQraorY8b9nTvKNxxcpGMgltsUFR6UgPdpB
o3akMt3nHAsdI5626d47ULXfhtzBfonfmFtySibvSfUwSk6q08m3fsZwARqquHdJ6t7XCx1GW7iw
9ic7ZUrhYUHX5s4SCYUD0wIejAA/NZNzEi8I28JHp5WLMk8iALxCZXhsXplk53GbYgj39wY+V/57
BKVug1zkBtvY5sYgWdQW9GdqJ7hpqkxSLrIkzO3Zqfs73Gvsm30CpMRG6hd/afSnRS6RK6fT+r1s
bZQg8lyGEY5VFxQMlfya4UBKoNLCfLGVLpHL3ZjicQpji/7VLebP7hw7VWpeVbqX5/VojrgFNGEp
eMd5m21VnOS3Nu2g+Z5tWXbb11brVMy22/a0fmM1beX42a+0U+Qp8M+pTEMjkEO1iydNRB8XId6d
LArK66Z2yU2w0jXxpsIMxwVcmBguMwfCkUF2nqmHTNQqHbtDaLUCdyXNY3YQloy5rmfuCSyakhKx
uqFs7Spmv1fQ5uU1SEaYMoFYLS0MQVUMHzNoLkR5bHuAd7n1bxg7oNV7AIOu29wingM5ClKuX1H3
Fipwa/MNtPH0ifBsQrsAbQvJeTnGzVmlStCF5TwJ7GBJN19n0md5w2ctIcfpuJ4pYJq9e7/Dsn+B
QsJwaLBshcG0s9poy7eEuhHgNyDYpjgeiMocH5Dceh1SYMj21ivbpKBRzOt3us3XflKjK296UPFc
1GWTdbsynaInlmjA7v3cFJdqQF+w5NDXoQ9Q717bujGRrXXxJFTLp6QAsOEdFU75LeF9f5jQOaOD
TPr6o/VNvGsNZ7B9lmgKR5kZF2+2nstmlyQ5Gl+Rj8hkmobhiYiQXIpL6IdYUUU66G7fUxrqbTJv
iq+UB7xrJ5rMuzNkJj5SoaJm7yZRySy367BA0xXkEU5s/4u9M1mSG8my7K+E1B7RGBSTSFUvzGCD
z7OT9A3ESToxj6qAAviblv6U+rE+sMjIJJ2Vwc5a15JCdzczGKD69L17z125jQk9k9vEbuicaMzA
j93Yh/jultHNI0HhGWxoZAGc8yw7fDMqh/wG/rx3jXve+jTHk2YjC0iL/UXF+3MlwiTcJAbEsdnO
rZWa+30lYs+mLBdbrWiWLDnPCWc5I7Rn+sWr/Hx4YPxvMwyxHct3Ocv/+CoNiyToiUACBkLvYa6d
zNK28yNNCWMXIOsCxT+h6o1Jyvnjpf/XD6fFP6bzXxo6+1mSqnf//N9X2Zeeeu2b+vf11/7+Y6fO
xD/+dTO+9Wro3367em3lb3tiCl8VPJ33v/PDn+CV/vZOolf1+sM/drXijrgb3vr5/k3y1P3ZCFl/
8v/3P397O/2Vx7l9+49/e/3Kkx5lAPuyL+r7to6DaoFL+s87QlcZw6DfDm/9ayb/i1/8Wz/ICX+n
k0q/wIKS7Nk4zv8hrLB+X0tVTvjuemIVAfcJfeBTz8cSv9urziFElBG4KC8o///eD7KxLNu+R297
/V0PEcifl+H2j8Lxr4QVFmZn7pTvK0wUDBz8OUf4+KZcgjx+vJPGqQ77uQYjPnNOuw1AKG0496P2
JsX5GvvIC3BoJANZurNUEi0IuLcOE68tkthj7Q/Wa7foEBIE4Z2t36OKT0YQYcYqU68QNwR9B0BO
5zCOCvEI+Y1mcdXU13Cns0vyOBgbqRJKKai2rWU0+c5M/Jn2tl1GFmI1aM63HXYA5MT5zQh2eZ+q
+b6b9UEGCVFagHCiduo/FL0x7WbExxvUAva26wGxUITIp3YO+0sF6mdntDo7wx8JT2Dqn7oglRdY
9MQXQpKhkZGBgoVqAmtnsBrPDKFeB78WDwGgFZgfrrfPWverm9bQFkRyMF3lORvDo7S2VIOEmSfp
mOIK2xKB+aml0Dkj2a6/zbPExzGJzDGHYHRo5nm+xh54kxgYVLzJsA6lRVKjIAP8ZWQgEzE4H9ZU
FIPscqN97lr9IONe79Uc5jdSSHubDEAKGNYbW+mjhiioXDbeIO5Ia3HhfRFG36VF8cgY1LnPZWPB
96z3QBvQGNgYHROfaqPraycy6m6XQw48T4P+emTUvVPArCO5LE8mNS2IH4Np9IRaeZplfZZ5KxSn
x7lb57l732hFNmUXwDoIOZPQuiQ+q9D3i7LgERLQuUNJWZ+7cXM2iklwUmiXENJEck4vrftgIVSD
pkYjAFkys3v2rAXVJpSVwehlZA/x5x5D+65VQ3ePR/XZpZTUnjftaxOnUjvfJsEQbAPiszeCKTjy
VPuDrQa2rRIOMFvqp2CqPxglxc4qhouRHyxscxt8ZOZ2GftzPXXjWecykqAf1B8nNJ9nHZMZJmca
hFceQ8hXbd9DzhDMZQfrQEztB/xqw2NqiP7oVYwVF9nfDsaEG0W6+tFP2/7S0uqlKuanfHKf21B+
KxYCBIye4I8mvPbaZCru3MkYvjEPlf3ZNHKi3FitpYgEQIQ4ncl5nKrdwELqX6B8nPDa9wHTwjBu
rkUtzXrn4/wuIMHG1c0QlDmRjWixg2fA1Uj3tohyZ2+bpL1oSTwMDWZz7Ej0CCy8iS5l/VqrQGwk
3iEGcQ4BC1mqSPHkPbFFF2QzUWf4fBdrvdTMrF/7xdXkHoyZVUybmcONuCrWAqxu2qQljh6qhbsz
O7vFeunyDHR74t7SalfpmiM/TRALRWgjsPr4wC8SXN5V++yKxLvDZsB8MwWdyxnOh3uDgisvOWmh
M/hUaX9MzmmaU5ohlPVJY0mWc7K7aoSljl/CsQG2M+w7zDM8bl1f8bgXALZRpmhFZJuDkOOs0MIl
yM+e4kfkD2EceRRF3Q6ai4lKxOe7UU5bE9WC5h17GWF+zr4Q8Rwes4IOOqMsbZOISATZgnA7lBlq
Z90NJqwU8sU8GqQpNSHT8lAdjVpMbuRXNAv3dhqLbo/TymLiUwuqTDBsIV1Gb0zTfYBbIwNC4mHx
UT6W7I2rpvgD1bI0oiluG5Cxbe0+yZQAq43MZ6ZRJcM3gnJK1XUXTPiB2Vk+gYoRmqsUDlTattCv
MvkhYTxlfcuBTyPa7oP0bvRFYG9Cq5o4SgwLQSGlX2AYjJM2UNeV9Okvy0ThvZt1nRnXfci5eGPC
3ptvQ1MG6tGY4hrFR+XaRyQ7fMENbqHirIhBAxLWmJkhaDADw44tJv0KiRJpjxTxfRFy4o6aMJvD
XQZncuHqo5SGfdw77hcOs+I2TGP9iu90fuXA4sZ48B3SJQucmNCX2VvDLfi9zD4gfRmdC07jnb1H
et26+FnYNO5ie/CLXavDgWTJycW8EDgD7Mccq+TD4E3qpmev3zOVG4+lu1yYBiHdhSIxmUZ1fecm
3XWWm9OhQzoWcWib9nAMmpuEY9qmDU19Ayww5uhDACFHXq7xmOpXK8mXQ+pl1xNSlsMM8RjwlDQv
jQVTSF3hWvF42OqY5AHm3EzOpyQyOedEnWzlFZ3ZmVQA5qaeTwBfOJBl3/s2uUhhfGh7EF0O/old
MeFzH5vqAYPBXeIIugLsn9ulziAp0RyE5T+TgfLUm2UBtFOKY0XyHp1j1c2siab3UgQ8JQeMmbe0
WtpzmLPorsLFPaPldw1EdLkoVqO1nDZqBGUT11fp1JpXtJCOwxi/OsggN6psvvUtYpkU3dSexKXb
LOSQYeaM86UM/Mgvib0ZVMya0JA4xR1a2YwpHTiKmTEZ61Aehh8KlOuG0ep2TmOQhAViv9b52mr3
YwdF+ryRuERYbK5iePDHBrPDFY3WMSJ6jmZLYx9tTF+Ghed9sQApa1KPvcXdYrotopY0viNwD9Vs
c2U0kTewNeet/0EN9WNvmeps5oaIhDEBYZN4oSG6foavX6jIncZ7sEfgPNZO67xTePVsdqpaddu2
7eNIoMqOoMM4pBrP9WFA/fGAtDxLYSmT3vLVkFafnKe5iAlEKYISa3xlgsNMsSMuB4yAs3dN2Ji6
sA1qM1zMi4mGNNZjsgPOjrtDlu0qZprDmvBkItHQqMQ95kWCONGimKN5yMJm2TWp548XYjFBqCGj
yUEvNQrdeKzM/ZjJsUKrbTVvmuqr3WNCd91blXZzFg3ZXIQRQQptjflTz9iNATrLTeEHtQNcZbGs
cyESREi6sMlizLKw+8rUP9VIQfCwHLUyYRF7o+3Ck5ZdOh/agT+EH2A+ySNqLOifaiOtsEKniHT7
fZ73sLVA0lfxWZoaLn7ALBb5+Vy0s/VUY2jrz2u7zjIc3CtPljOzk14MipYCSMrSSihBLMv/sIA5
wzCZ4LqQWzuRnrwqDQn1rXOyurz1ZlMPt6YcJsbfktTDeBdoPdwPQVdggjPd+i40+2WBPCatDjti
X39SIh3FTeP587LNA0G6Vs20iiGoXScYhxPXVQSWWllwk3c+xVyfDm2IU3JqqA6pqNoj7wJyQ5Pq
ID3zCLxALkhp0OyVr+lb7AppVed5YZZUDWBWIAKSiP1UVXNBYoCeg3JnKLc27u2l/+QSB3AMzOCY
0bzeskR2ZFksB8wF/ZHOHTWtZBOCXYOkJp0ugDcMj5mgEdXZ1pcwNT4TFovopXLQtSGvN4Jt4U35
wyBi3mYQxDvwbE9aeeeQFXbUbREYWn/fOKiItLm0h0q2R0IdW7aeMHnKabQEVndlkb+1JcAk5gRQ
jYfeYprqlVhHeE72niHCM2GWIZzcGgth8+hJxgqj5v6BsHwcYiOymuFG9q6+4wJ/SHM4o5NT3pAu
cK46j7YxKUtsed35PNUksQ5E+SbTTeJY7SeWsenaVcEjhoqHwagxwwvCr0u162X90cotWryyifeN
F26nTj2XXXsrQ/zTdv0Z32kVuXX2gHjvjsT0ZSvibnpB+vQp4Akd2xbujKm6o8Xd58KXgy7MbDrH
INcTnroxiuUzGahXZec+KNRPG8cfr3TX0a6EGkrAF5a6xlkrIi/8INBQImltvmFtxITrWpxVFJ/T
19c+u8tohQdMUVcYtu7KKn9efHntzA0SMED7Xlx+aQcFnF8mxgZWekofRcUb3TUfs8XvtgRimwSV
YZKvy7b9PA6g2Uz/nlEmMWjJeJWK8MhZai8BXQ4TStrAIbkN8/LlUkuK0YEO0Kyu3RJPXYvS2NHt
bR66d26wpo+r57GBrW3aMuQRXfot7TPUS4H6yFZNiawBxxkWDJ8kOFDqfmwSte/mjk2cCBnskt12
1nrnjO25XSt9yA1ZHnJSkGPb7Q9IVl77mAEvAIRGEkGVzM8BR6Nd65DH2ybuV0AzpGGSA0NS2Nap
FlgcYaK2dWkdRFZ+zDkMsbcw+7wQyvuAZXt5Mz1jvIxF9hQuEO0Q7eFhRV6VwTMHQredQeEmXQw4
El53ZV7UhAFs6Cndas8/uLV3KTm7UV/uct8cn+dhuFzaiSTUVl93vv9AAhrMP2GbLPW4NPN+Cs6y
IaexYgf+C9L/aHYRsZ5oT67QzxkSvQjW07TiPziW0cvfulV8C6Wq3XrhYkQhOPcLMgyr3QwvG58u
Wqh9Juz5NnDa2yJGW5wgL7xosvbLYtC7zAZPX7LZ0L+dZmvHTGZ56GHknPE38AKFDs3omXEubbv8
LeyMIEKx25xPKu4YBUBEWQa3V/Qp1/gLBgYosdhticVAWQyJSp7iMsSanIGEcE3RMBVV1A2nOOI1
UL1nw5kBl5SpEVjyI2U6YRyqt9LuUJxCOjj2CJTOjZ2byRmybKzUie4I/WgCCS7HkGvcRwLRy98s
pxgQ5xQJEgSDu/K0SUaArTSTdBNK8kNgK3pbu7KN/HLq1oiRek0bGdd06gUAvb4cmReZkUkoBcCA
NZ5kyIhfQK31R3DJmmGS5f0cnhd5vTC9XpNONA0YMm+7Od9NI2gjpLYNn8rQcEZyg8A40wUASW8A
BMalm0mZHm3OMWQEpRx4Ql1RkkO1pqQF/NZ8jddImIGDFUCr2ivOmKZgZD0lyBitdL45idM91smS
0XiHN0tRO9F/OwXQtJP5CpjlIxOqHKn2GlPTNGF63threM202B7EpE6eqyC+RYf5rDIiYYm8gWLb
VoyHbPOqWpk5tJctd98JA/wlIl5ATUN93Ts4QvyQg08+ocgb6a3HMWd64I9bsnpsWq1iX+I47BaC
jPRgndfTcit0yUXoSCNKvUubad3QsWNWDrGHofPscAq8SH1S5TDpT8BNt32JFH42yEtIgvkoi4kM
jyBHvCmr66ZhwiFceuGTZT8r/P+7irwh9qHrSZCP1zkPU0DH9kyfEoow8xFct8YWERpEgtECnjXZ
l3K4p7MVX+alRKYNb0M/JqcEJG2MIM1PuUh53uJFs055ScEpO2nVUB0WYtxjSDhC83ka3RcXjtdc
mem8b3Iix3E0w9ih0CSWSRLQZNMMiuGbK0PiZ6t1c6XCcZ+Z7WfQZPISmA9DcRsmZ2Ymh55sxqhe
I6Eq2yZ4ZvpS0R6g9GCIskXhwooV2PccHzn4p/Q7NgkMVche80eaSW+gJCZ8u4X5KtzmHNpNczdN
FYg0FswD2/NSP+SnJKtAd45325wSrrDNsXWOa/AVR/I1RIFoBYI0Gr/pUZMSk8Xph6szrNlZeDIp
xRICFqqd2du4WExMnWRtwWOdaLetGVzNGsdFHcrjLxKfgi5fA7vYuwE2MVOt93oR3n45ZXvFHNwB
O6+RX3XljDi51yCwOiu9VSogA0AUxSktLBEpyWE9MlV53w8lTnn/lC7G2GjsyQddU8c8CV7xC2hi
/+NMhri9STGX7wgUJVVMnJLLknlNMdPOmmgGUIt0M8hZ7BRyDT1rsSAZ5/UfWWgeSJUJswC0so45
wZqXBqZcXVjaK26FdPxv2RqsRj65f6xoKVKrQ6dlAmZ+aRz6cbhpyvFQrflsfpDqnY9Pqp3lSCYm
yC1/GN6qZqm2uGr0Ph4m3zpva7vb2rrdEUqiwvP0FA6HHbd37vLZmyqe/oBNgeZgobYcTsP8XIdr
yJxVThJ+sxe07UFRsH7tqiBDkWEG87fOS/Jwh4gEPbhCb0SebM5Ke629pj7PTxF3ikTYbFOfYKC4
zQhfxYsMrE2KgiNL0dFB3hkem8ZmAtOc04lZOW/ZifmG07ehnuxWFlwiCfJkUgBeqDEbQUhKMH3s
Qid8SufOBKgylFuQGxaBjNRYpWNOzxnFRbM4/RmTZTpL9HjeRGzT4zATFz6d75WHhi8bGov2xBNO
UwbScg0MgAhjnSN1DR8cqHhHnoQwpBvFa6NUp/WyNevUn6CeGSkg1Zzhd3XlF+1kPcgcNPmeNabu
bmAymNkR5j9h5SMMveassGOZv8Le6B44DsrVnJR0y23J5Gp6nfImgXThJ7P76I6Iz3d9b+KX6DN3
wh3fElN92TMCL+nc+eJJk25b31MEt/Ud87Wsf8phyRApG6N76jb1KX1FZBzjtwo8ZLNTC9GosMDq
EN+5nTfVchl4MddA1wP1QizLOj2Srk0OLJT4In/ko6Dk9kNO73vLxE23G0KRwP2QDTN2Vs3iU+xM
NZZ9jNDWN5cMhs8Z3803jtsW7qCWwzruHABDTqm4M4EC1p+HJO+6g+ENJ5ojaBm4dIwHNm7qJOZN
XNbqszAQzu8M7hiakVJVFxBx3WBPdrCn+eqwesAqb0iwmUAWcIhDcVXhblPOQ8wOZBFeRu9lO4xO
f5kY4egTEjV0RjToEpRMPJGfvfNdgn53vsBPbE3m4u3WdN47Tj94wnWHhgthn8XtSXy7vewoj5Ov
MnbicOMzZgvPWdjAddOaW+ReqJhFTYY1uHkjJ3hxJzDDOJsWcs10HYoyPRssm5okL/31/D5k3Mwq
yHNvF1DyjBGtQox/sU/+0cHnybqevLJMbib0pDxDuPo+8mQakZFUo/fRHlL/E8FO4p41girQbw3W
+s6n/Add0Kl1qg/oYstsI/s89km681U/XC9Nt1wl4+zA6CIepk0CDyA63R1Cm86gONjP5FgfK2rm
o8CWv4vpez7h5POOVByUSUvWxtfYXWCKyQCU/IK6sVy6+qqxxuIYIA9ILQIKTLMDm+FiN5lZcuH5
kAMdNx1cNzuGj8dB97qPM3EeCAMlCWx3I1jeKo8ohGq2merGZ8tUmcT+hG00K+sRd2u8BaVafvKs
un5QrOFHyCjuZmnVvQz6Y90F94IW3xfcd4+hT4yTyc5eUpNEg2l7D7UKLpOwvepHHAVlMx/8MAdy
l/k7tJLLXrh58gzT7St8gXCfO6N1jhbG6EARgGnQOGBRLE6eC3SAGQ6NHdf7H/H5T6PG0EFy6zOV
++fDxttXfNz/+X++nzP+/bf+VJ4HvyOzDELTYRi8euQYGf5p4Ra/e+vKj3Q59O11ZPiPSaNt/44U
Hf0gDxPTatNB0fb3SaP3O5PwkP9EScsPoHr+FyaN7nspGzI2i7RYhpYePGM/DN6JqO1GgQfojCEy
Gp9ULRdV04x+ra7uDKo08rENzzgTtFoYYDUES28mhdeUbldQvIKWwvhn6Al3C4AfOBCctQkk8u2s
j3ejIDpkE5CyxGmiMJIzj6awSYOn6WC9zJLwhBpt8hfsKCremlXZf+pJJLWwCUp8Idod6McCtTJv
XCOxLhKN/3Q7YSem32BaiGYS3Zo4pju54LwNfXlHywWXa0y51GLLXcxpW00kv+JlMcWH0IOYAPHL
ImO08j4upjKxRuGuPeaE131VBGzc9VZcvZKTIgg9T0ZS8kAzcA1yLCPLtsi86U5otZCM0Zj09jKU
XHozuj4frccgRJXYk0Q7a2osjJRlY22wfbo9KdCjRHlgLNnrnLYCm3Mcs94hAZTpYYDqim+5WsJX
kl4YhdlVyrirLCcGQIM79i8xwC8kFI0xH5nC0qMNEhR7Ee8V4XddKb0ZZOifBUldPMSOlo8mYJ0+
AjVpX4lGNJct7GMcND2Oyg0YGv9zk6rgI0VqPB+JYhpuXE5WwCG8IrR2c+4Thovg7irRmU+XxCKw
aqjs8kaW4HG2tCz1iy/a5VmwlZDmRNT3LW2S5oV8h+4+G2fgOwtHVLGFXVspYGxu4QK/Lhr9aHhB
+pVXdM0zA0H1U0kKXrYf42UMUECW1kz8FvvBDnJb9pkxSvfWTB25pJiIB2XDsw0rP5qcfNX4hp2T
bu2smAn/NZrhkUk/e3LTh66OKgixz+QaCXmW5SG56rGffMKdk190cJjphqQcq+zYlx3GBF/de6AA
XilWpk9pMw+ItQJzvIZDWl3nYrW3kZ8S2xvmUmDrQFw1ZHaztUKRqxtdYRQK/M8pXcpy2yioXBFN
8hKXPRGsl6ZZFQnl/rLcxIU7XHcoEj5WQeO9oEtAbuPpob80a6e4CATcrjkrXRiKsi7v8dBqMt+A
G/lbGwbMHWR06u7BqGyei0y5D+gXTkY+zk75AuUmMkXD5r4k4T3auv4YsJvfWX0bHlKqvdc4xim3
ZbWC2WYi/qE/q1NC4REzjfcIViQRElBXX2iD9OSCrh0PjNIa+eLgL46AwIuTYC8gpV5pJ9Ffgi6g
HBxzrqrqvU4QszXpeb8kLs2mXpSi3kGapHPfigaq8OBWKw4IP5YdLUnm3pvEZ7wsQWfj+mw1dkE/
lhaBkkkhBO2zsmEwXZjqK80NWe8FrrSrdrVYHU0vKfK9a45Yo0k0KyAidW4KYHqencsJW9gdGKiw
oL6O469DutTVJqTP9orSgtsRJxcmPdPKq23NhBegix6CFYurkTIhMccW3TfrrdTnBaKDJNU5/Ecj
NBmx1x2g8jD2UrS0oXwRAfWtHtcSUSFG2Awe6KE9pC2SIWgJ1e4uyX1P3RG74j9UVG4AJRy7v8gt
hVHSD6p+FSoMYBKCjjcCGXMBnVU4LiffZoSOpvkad5Q5RBpiX7Y3fWra3dHztfWU5S6zRmCxM7SG
XHvPhBGZt5jVCpeaN+iBh04MM4EHlx8Q6CMaKIdAfusTjHV4VLHw0v/zxqjJiSfdIc1QVTS2Rvol
YLpp7oVtgOzAP1m8MZ8yaPUTYMP4xS9mP3LIlPuGqI91n2Z+R4eJNe8+7oJk3rlZ03ydoOY80Llz
QLXJXt3HVQVMc0DmmzOEWe8J03bgiSeLFmd8Vly9hsxY8NplykFJkXMICMQenA8TMmi0/G5nksBE
hBTqPmvKP7aaSnsjhro+1wKXHaOYRr+h4RRPgKlQzheFhZTUHHT3AATYxIw8u2uLDNrZsgEhxYQD
Wib9ryItCbyWiFaXY9KD1sHA6tIMkzgjsO8PMT9PB5PCmvP29DlxDEI0vKZ74MSbetFqORXbEVMl
x2qfNRrS5YjL0BhU+0ECKas2wLtoBMhi4dTYGDzZLMejOK8tkkwPyexwb5d5RRLfBOg4wa32CVUK
eWvZwGB+I1rCVA4l+l++H9XlX7Oy816cNg7sXTcMc7hJ7BBYYgOjszjPa4Y5oWuY4mJZGnr/3B8M
Aq0wY4xOrAIfDLVLSsjZ1BN+ST26TrtI61ruJBvuU2LmnDXBmtF+LEx3RZwpizOE4raN6qnxiqhp
ebS3pLeSFNzANKDLaAZ0QBYU0ccE+XF3ZuqiE/dhKYviQFxBZqzz6RNyoymmh4QeKbxjj9wBDDGu
vmFKDyRvRRa+kGIA/HnmlApJouqSfA+jU2KkjJV3tHGAIHaeQ8brroqR4I6WjIGq15Zhr3xbrz/M
yFfvh9aRBBVosCgY6dEN07S3izmCSVoEu1z7hrfLRDO6Gzr1Xh/Zqi+7HaT9Se76UPf1GZIBm7OB
Zy3IQFAFuXxd+QhEUk2ltZtSV5KR5yh+nnlz9aXNltbYouVq0h1oV0hk9H3nB98fp+E8IPVsOGQm
e1SP4JEzS1FP5WbqcvNxqrX1hts4oKNkmfrQ1AmqzJjODooXTTAKr2iWn3WPUAKuffyVqGyAuOQA
a4EeSyNrheHY0bbunE+IEizwUGjLPtGIH2FeK2YewHCYVRX0Zasj5PD4XmECR3ed25LEMbfIdxpi
jrWVZdFxq9s2cttiqgMRxTExB4gofP9Wapi2m6Z1YubVyM0j7L48xVlXFynKs9l8IsB0/ozcoCTk
qfRrkI9YENdYoKm5rXPEQJtGFy6oMVumpP45lffATkYxp6Tt36YxxjaSPGMqKhAjjAFa32weJ7q9
HvWOZyGukmXub9sChsU2c8yO7Ax/SKGcJ53aeZV0INH0i39TpvH4UdRD8iDiJq0uO2PyyVQoBtjg
Ns1EyBou1l/KQaWgy05s92LRiJpScwye8jEB/MykiltHpHPzaWRwmtILqtnu54Xd+5AMZgeYuGBu
dPDJOZwip5gwmMcGCwbKUo8FJmv56rgOicYMNKM77e2ugTAWIjqhTkSwt20JDYxyTxcPnswVqV5D
ierJra1eR7mJRHKdNjcUA+O0LGzVNst9iQoC/Asbhbcn56Z6srqwhqCsa+LXYbrM1i8Ure88aZj2
QMITWYrJklzL0H2nm+0XlJRJt4aZkfixt2OBvMCu/Q0aOf3feCkP650IkU9isHwneXTLFFI2Z91I
L466adOm2jbkD5Ha7Iy/cPCs7/o7dSWfyrccjj6s5B4nKfHu0MMAK5vbIUCkAK3qEMryWw+7cffd
afBvqs7vTbDrH3n/ItAQTNNjW7NJq/lRwikdqwA8kUGnEP78NFAJRYsh0ssAwjKtcQTeaBV6718z
dp0+2vev+u6jxdCMTZHGWUQ4zUIia0YOhxztf83YxaXD6LYarmwTqBBn3B8/WwwlvgISA+NXSzeC
wCAx+Y/5L76mk3Prh0t4epnVsY0q1+ZQ9+PLoBlm43Wc1enZkoZJ+w1Bu7EjkdPYdp40rzsxVPsU
Y80ungjV7Gh6kluixO1ff5WrQfWv3se7p0C0pkbsb2dR1kOomFy/P/jOulojKotWKWrjOWrjrt4D
Fy3lL26kn+5WrgLObZzAJOYEBB/8eBW8ha6ZW1EODmGY7ZTD9BMKZfOLi/3Tk/7uVd656HoAmOBs
hywKgCueI0OaEf0O477JEH799eW036mb19tnNbxjx8c/H4Tuu0/UxH6cZrPIogqWZ4yalZ2AjbQv
7POscbqXIXUX66xpavMltscp0gqtn18S4Ey+tSWuWtBNYHhjFCXZmBcQ32zjjXgN56UlcBgMMiW6
C/fXD29BTDCl/Ov3/9MXwkrIY42XfgUA0IX58QvJxzFOdM5KZduIft0gQwSVZdYv7N//5asErK8u
IzQfTd2PryIbR6dtwNLbCpvHa83vyEzp/mK9+Olr57Osi5NNUesSYLC+i++MoAnh57PTBXlkjBi/
0hSzGNj9/DjF5nTx15ft5wWRDYTnAssxMUeWS8fr+5fiUMWCnCEN65CMflmKoXp0Efrtwc9MkQxI
xE4Ip/vF53tnyTithz4zOvpo/tqCe/ei7jRnRUevITKCIbutioFDDQjjbSVa+8JKYagRMxA7R4Ha
4/WvP+/PX6Bvnfy1LrZAk27ej593WmRrGNPqU0cgjf7NLi4LxRH4v/EqITvzambg477/gPlAnRW7
WeTb47h3eAD2iISrX9zyPy/FbJkhtzyyu8C33fDdUtz4ZsW4Is0hzVLJRh0JUD41lA9NeSht8Hgk
kzuXqG7XVCvGPDyJHV7WFSRmE4fYtt0v3tG6ff6wJq9vKHQdepesitjlf7y6I+bMjiRe3tDSiUNC
7XpXuwD0gQ15JlFrY/iLPe/n2/cUHmeBArFNAZ3xxxdMkVsYo6/zKPCVvVHKssfIZ657ZLHjfJ63
weXoE2z4i9X/5weUl6V97POqHvqSdw+oMlzHtAAqR9gN/b1b5ziXMhIKyBu1CXL+65vptKO+u6o2
y4Ftr2sBCMp3u0BYmzOZLjgCGx9TFqeIEC2kNB46F6w900ZcpHZmEY6DQ3C6stYEBO78xogczrAH
xjbxnl5VfDi9rf8xN/3N93T29T/+zYbVytX+5/OGh//8v81vt69D+SPq5o9f+3PgIMhAtIjhw+bG
Siu876xNzu+WyeCTtVAgkmJB+sfAwQp/Bz3rOCE1gLlGLvKw/X3g4P7uWJTltB8D9w9Ezr8wcKBw
ef/c0tYMuFsCBy4MKb9rrfXdhjMKp/CGLEwjlDq4fnpPVNNOT7b3RrcteILDXLyIVT+zxahc31py
oeONEBFXpB/kdB0R2QhklwmCxfXEdVX7Mn0pWqB4m9EO46sgoZQ8FMTL9N1WQOl+IZexGCLmB96z
SBc93uWOVYbng0CIfZvQPjIvuzbM8SNUGBU2OfOcF7bl4sYUNjFKVjsWeH7sMi2IZWixiH7WZWnS
JFfDhVFhzN+4dooVlM+1srCNWYFF4/wP4Ztgo5cMUYi5VXY4fjJzkyykkm4DrHLdTbejjXtmAyMx
/+rRf0gux5bjPN2xPDR2WtF/i3j89Uted5DkGAT04rIKuxBFQjLRjyCoYv7oMVxVUKZSLJuNiseW
tqAG6UlPuKjxnMgAvZWqnLek7efLoMkn/KkIdmBU9gtcxhEmg9oB8kIaOyGGCDb2hOQcYIOBacdI
Yrnaa+3hEvyVeUJzhZu2m+jVxgRkUjXASZ+3Jl2ELzVwggcl8+ybGgZ9rjIv/1AIauUtxnZlQDs0
xfXk+P0V+khJzymZAAywgV7gKMpkBLV7Td05OUAB7uEGbRmHfYrt3LtO6tUt6q/GUe/kIdVZ5gWb
AO0ZLSNqwgoHNpZTTQpgeEhUF97Oq5B7U8kyIPXCDmnwcqKow00Gu6/dL8FsfTFXYyvR180AqdBP
rhG1chkJ3iCGLzg5YoH1WeUVqyVO2apYXbOcKXHQJsAeWiIbW9KHTx5bUn+QPgSr85YePBT3kx83
LNLmC/O+6vN48uu2ho2yoFttvFkXN+xVyAIfwCsTfjEqLL+FWsqr9uQDZtwdP8cnd3BA1jdfz2oa
xv+Mf9hdrcTByVVMOCijtga7NMaYLOcDmtUE02zdx775gZ7IcPCAVBq5aX7sGc7QSBhTuc2Ecitm
yJpJk9Px7UMHJl3D0FZbHV1jgcDL/osiIkFdRRc2lijwBQ2SR8ko7yLo8N5vEz9DlkzfzwSZplxn
II+zxS00IJltQBAJcFYNuVNQDI0puJvDxEa3ZcTGpfYs1FL96otDAJMPDG8Mo9oliSuDjQ/QxSR3
aZnuNe/k0cA0/m2aaIdupqFwLwvbAQtX9xnTyEZpYqHJa/G+jNbKF8a94L8EfU2XjnjjqadNHbYP
mOyYChl1AUcUSYW1CXuTYJp8WOoPNX3GdF9Zq/AU4qBOo7hDssJiYMiQ0+U8XyYqrDUC40U/jcb/
o+5MkttGsjB8FV8AERgJYlMRJYqi5NmSuu3yBqGBBkDMM4jb9AFq1zfwxfrLpKgiRJp0WS53cGlZ
AvASQCLz/ZMJcTHoIrLmMMTTmhnGuW2PDZwD6xJfXuwMaaVWvCFj0k9PMTSFnY0CrH/J0KpQRVvv
DQ7L6bsaCtWli4rNemumNQvhFNLGZTWy/UgE9vAoar5FTjJLoMVZ0gbtv5sQ6iUzi0+jXFdc05xC
NSk/Q4wf2y9tfP8+sOchAQ7qiHfqLwK8ImwLC86zxPMAPuDUa1+ytEmr09qslGliKqNyYvZLS8j9
qvw9YfQWbBXJ/xgz/10oRdpCfoM7UxL1HXXXUH8AT6Dx2J9wrVVt6KMODhKF4Tl/JKBjJjatggtU
ij7wSVi2DVQ5Y0lzEX48/WpXRKGa/lj02nGex2czJB4cBjpNeR5kqzlTBLUlJ87zZevmcHYxBOmS
aUafTgfXHMWvsdDuyws3sk0YrItKqM4yz3lLfkO+nCxjTbvGwaKB4xLRoJymWmVctaGIsENWa9/7
vQPpRE8Xy0sPXHjejTKmMc0vlFlFXxmNZAdm2CqiW+6nwDNpOY6caQfiMjWDDCw88cjGOIEYWbfT
ZTIyb1tfJF1CoA0L9qRdigpWcoRoFqbe1AzL5KWhkMDzTiV3Wj1N/DrABcRIcH42iiJFGtjEHrKd
rndQjjs614dU3UwnGtq8ixENRaAUmr9zw0YT+MorFylhUTA1Me4sPV8XEbVu9Rq3n5xkUtPG1tAK
+27adEsbHnpW6MYsT4hhZZowlc9kTaGkagnjhpJvY57CK75sr4IYHdwsaRP1mhimYHzKIgPNXYQ1
aDppG9+rpnaQ0StvNT+K6IfWCwjxZBHnCDFM0hItwoHwY3bgSCHlqR3wLijEKivE/NwyC1LNjSQ3
vQsVzgoEYTiK1+DWPDx4AwA8OEk3Mk8ao0E7EY4FJxlLd7xgPPLlbvuQqCLCN2qB3cSAFSYRJiAo
5HndemUyis9LSTtT64rJyhwveMpSjxCka4SDQB4GM6NQ8eLLOTa8enQ66nLnc2uHMB9r0wnJgtdt
V53Rm4b535Ac/xrZMrniFh/DcIo1T1aedSx3YRS5PcaqWHBCk+O7sAzOaW7Djw5xIQcoQjaB2LXk
EsdW4t17NRHmZ625FPi0suTyxxjhBrNQX/LNKusSGCpNC16HsC249FQXXHx37JAWJnI1k1nsQN4k
2Ivt7Gss3ICzmlopr5QGJnmPoCpHYwXcgQDQAG0uw6YLZibS6nlo2clbJ4jzfmqUSXepM1OakxyU
WkcYhBrsvF/IdN80MVAV5e1i/M7rE5AyZDHiUFUGnS9c+oy8n0dj5Rx5IO67kABL5yWMb92/0FpI
yhdu66rkfuVjPiB1RALzSQ7dz5o0dLLLC8hnDKSBBTySFa+Np26taV/crIXGPCJyiwiavkm8c7iv
5BJanrJspuXSU9NpTk7Hx9LvQABaNKZ4txsqImujx0QCewrSj5MuCImB0frmIxb5rnvhVVjdA/w4
wlS2wWrtjAkAcyuT/cwtOg7IfN6ihDbf4pTrsaBJTP+tagCyvPKwIjZfIgMViF3vkhhUIi6N8OUB
APtkpUhlGvRX1y0aUfxIyrZ2ZyHmVhdGKC8i5VW6SCMVSp0t0TZVIm9N2dnG6VIiclmu6uYrQDFU
VxKz4wkkgieTWJ4ucb2gM0efbc1a3IcS92vbOMxn0OrAA0HDR8aZp0QGUmqBGCJEiN8iK0/E1wtE
MVmhiwJoxGIApn4h8UdMDsAiaY5mH12UmxWhKQKtrCVymXIG8CRVh0tYulA9FR2YE3S2uyXHS2Kf
S+bvQmKivcRHlVxgpYXETRcSQw1VjQc5kdiq1/X8vtIJzNWW+GsvoNgQxWaBUl0gtL0EazWjnbdh
RPI2mBcp4RLXHQmIN4LXk54EEvmlI1VXJ0k8Nj7CCQcbrkYRU5krMeNghR8vgZLHQqsx8STCXEm0
2YW0wYwiQGibLROTqICmK9xw7x2JV0PcNC/HEsUOk5oVIqG63ZdU4tyuZcb5xJX499L2orkhUXE2
HCDkCyK07jKJmycSQ49q8uAjiazjAg7KjhtV+cWQ2DvckggKkkDkGwHO52a3AKcHK3rvCfC+lzh+
nsWAPJYNvA+hE6SfOw7qjxFEdbaUXABFKWjR4jJFephkC9ii16NKDsFI8gkCyS1IbaV4xWyfwR71
S+9aCQQPAWlHbE0NyU+oJFehkryFRlAYDEFmsL2m/Cwipf7oy0axJgvJe/CcNsClWvIhSNOg92on
gd8BAhI1xnsu+BOxJrgUvaBV5BBNWGhItsVYEC8IB01jxHDQMbBXh5nRCpIGsZYG2gTB3NAj9Icz
1k45LFbJ7qh8cIzzFvo+REgfhnwjqCD2ihUiGSJGqeOOpS5ovk2aBboMZmUIJUqgAz2j6tPJOUKH
wlpLsE9CyURR9NhKpgaYH9BvbXT4x0vmSi1ILKCw8FlQgrd3i07T3pSR4itICAX3BbMHeDBtxvfy
pJD8mFBQZYpYTIZma9aXhCvBpdnY4O+AkLY7iIbBlltV6THrY7Ck4V7ZR2thdKwpUDikoz/8MPiU
p2V4+XdPYhpjk84e3deRMZauhhsbchimERYZqjlZRga+1WrKZrFLsgPN3+0+rM70AaveZHpCuPVk
219HwaiJU24VYV0ekR3cSNScneDRdwpTPbvbOMmSMwPH5Pf7C9TEsYdNLR03lRG7dVrdJtGuw2F0
MDxDPhUbqDm75FOcu0Z/YrCgPOGGk32beXgKIE5glzjBUVwEPmZeok0RtSmIMl0CY2eI/pbeFXCh
9hoTtf4uq8LRvWK4LvshoOsC//Xe/ViO6oV+oCW33f/TTRASiBA4HNJOedJF9nsz0l2FyNAlkt6T
qO3Hp8mCHZRVk0azf6B2nMoSDq3CI8mk2ytarhtPQhapPhCMozFlIDx386SHa4c9PXZlxYHu7Y5b
AuVV9Kmgv9LBfPJkL0JiTru6pSoC4F75GKTMEHmT20A4yiUqzYzkq3qBKV1nvG4Nqz3wSGw3j3WB
qwCu0OtUWQ0PK9UVx6mqBNPwHDXVDPsL6COjAgM6lcSE3EzVD/tHdteLDPYgnJdNU2ASw/MJexEX
zArVElqw81DEIeYBeQr7z7JdFSfYOMuTRyVEWILuxMCRQFFtFsojqBhi3aT5zoemIZ99/+l0AS0M
3yumJ4HnjIAFgO7F87TxvFiJGmfBmNT4amkESFs760O2TFlL2Ymi05kJM03vbrWRG7rnfqhpMzwE
nRj9DM0oGn99+ZGZmCUoy90oOI87NE6ndVnr6fkSbjx5G1WmVxOeWGgjOVyWaxiJsFuDkfs5cNgP
H6hH27pLtD8dMq1wgMKTW3Oe1ENcXmj5wcI/xfFO7VjbYH1w0jbj8I0RhYvPft3nH/3SjO7JPzYM
2JaaGU98tSZbKF/EMJaqimg9vnOsyARUbN7uH/Ad12frGlxxXHXozY+fvJ/G0swLK3U85iTfe2NV
Rn5Kn/cQ5UMiRoPbysIYWFa3dA2TLAxDh7eVmxQhW2/8U6dbjuNXuNosoPwRmQndMA9DfHqICWxF
h7O57avO+lfa6T7JO+QDX6dW1d4EdlYnB27O1rMtLgpPZMhGFklYT711lYhAAEIKsIQo7mK3XiDc
LzB3qlALBZM+/rsjjfcWgD4tb3PEQDxtUrOos9F4koNiMUGcqwXJ16MWA1B5P/8WrPEumyMCKebz
Cju2px5sAxe3f963bcPibcu47dG/bOIH0b3872Bebti+HfyFNWqwfYANFAR9wuD3hCPc6sh/OcT9
NjCIk2O28Z9rozp5moc/fyhs+8yDc62LWv/wPMBIrrgjFlGa0z1c5dubGI+63++K+abyYyRMzf+6
ii0Tu0dYZ+9BoxsvvSnXBxKoEGs/ZvFnHzi+6VOs8dZHkkfmC7/+907fve+65JMbP7hZH0bCWBIa
fu4Fn83vGfvoxS4XQOHhuD7jj1/4tMy+/lkEVfri6gYzkfUBV2OOXcf6Bz9+hlkafP3PcMh1fcw3
5bmD80YIj3zQwPWh5LjTNPgJF/3mhhGZFSmOHbsCKlViWNZn/fGR2TjJ+mCrEmDkrX/w40dHlzVU
ZemWJsD65w670Ht9/fP2ydOu/4z38/28SG7i2/pueEtRh/2E0T4ck/Jt783vmgOGmaZvscscTI2g
vDormecO//AsV3W0PqR8dDjHT3izxFRw82KCcSk61eGNhvvyE16v/Rj+M+/D1bzwgmww9izOLW09
UD/+Sl2nd4wMfdr1ocSY05kwfsKY/x7fZMP3FbLbz3hfD5nBPnO03wc39dc/BwPCdRvrH/z4YF+m
2NfGg6dPjMjPeIXS5P7rf5PhB1ts99mCP/+69+phnznYk/nTSd0xRoLRd+iyd638Hu2Lt9eDawfj
XX+2a61LzcxrU1HdN1bD3/yN9Spzxy88zJXiJVut/x6nYXmm5cP/P6xEh4vG/c/dxsnWR5GvMlMb
53ioeuOXhkXtueT1wD3YVW8Py6Amub7aV9Q3VmfHUNxqjbevuOHC8BhqkluFfSUxiQ82GEdQlL5a
MO+ramuhfRRlySX6/rK+tcY/ivrkJuE76zv0ediarv5/s+LDLmVfYUzMf62UjuFeQVmme3GgpMGm
6iiqktuyvVVt7eeOoi6xet1X1qDZcwwVrWJA95W0e3N8HLWJXfWh2ma0ishIvU9fDPblR1Igu5Lv
L3CjJXAM5a0aCvvK292NOIrahlKGHbuW7UbIEdT10E3Ze8+GPZhjKEoDu93/nl2lpB6/+D2eE8jz
2JdYlXaXir4Qe+CNI2zsHwfLKVKgaMMyer9onylggn336qS4gbo3XCLepXVSiSQjjySPjT//Vk2P
g/eralo13faVtdWsO4aHcNXy21fWsE94JDUdeAJ3tSiPpLIDS8Vhd/RIajq0nho2Zo+hqMcpd7XR
3fEhHk5/WXSTzFdz+S+a0CRwvve930Daj2DIV+j0voJWmDYtmAeQe3gHBtyG7/gA/dLO7SNWsK++
y6cowzHctS27zx2vCmuATcPPoyjrASTZd7+G2Mo/W9WhSQWqj/iVuwi857f/AQAA//8=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5">
  <a:schemeClr val="accent2"/>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5">
  <a:schemeClr val="accent2"/>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1.xml"/><Relationship Id="rId1" Type="http://schemas.microsoft.com/office/2014/relationships/chartEx" Target="../charts/chartEx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microsoft.com/office/2014/relationships/chartEx" Target="../charts/chartEx2.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7</xdr:col>
      <xdr:colOff>495886</xdr:colOff>
      <xdr:row>8</xdr:row>
      <xdr:rowOff>101299</xdr:rowOff>
    </xdr:from>
    <xdr:to>
      <xdr:col>19</xdr:col>
      <xdr:colOff>188846</xdr:colOff>
      <xdr:row>31</xdr:row>
      <xdr:rowOff>169654</xdr:rowOff>
    </xdr:to>
    <xdr:grpSp>
      <xdr:nvGrpSpPr>
        <xdr:cNvPr id="4" name="Group 3">
          <a:extLst>
            <a:ext uri="{FF2B5EF4-FFF2-40B4-BE49-F238E27FC236}">
              <a16:creationId xmlns:a16="http://schemas.microsoft.com/office/drawing/2014/main" id="{4803DBBB-63C6-3260-3260-AF0A20239E28}"/>
            </a:ext>
          </a:extLst>
        </xdr:cNvPr>
        <xdr:cNvGrpSpPr/>
      </xdr:nvGrpSpPr>
      <xdr:grpSpPr>
        <a:xfrm>
          <a:off x="4984066" y="1564339"/>
          <a:ext cx="7008160" cy="4274595"/>
          <a:chOff x="4984066" y="1564339"/>
          <a:chExt cx="7008160" cy="4274595"/>
        </a:xfrm>
      </xdr:grpSpPr>
      <xdr:sp macro="" textlink="">
        <xdr:nvSpPr>
          <xdr:cNvPr id="3" name="Rectangle: Rounded Corners 2">
            <a:extLst>
              <a:ext uri="{FF2B5EF4-FFF2-40B4-BE49-F238E27FC236}">
                <a16:creationId xmlns:a16="http://schemas.microsoft.com/office/drawing/2014/main" id="{A22D288F-798E-0F88-AC6B-03BDAA562026}"/>
              </a:ext>
            </a:extLst>
          </xdr:cNvPr>
          <xdr:cNvSpPr/>
        </xdr:nvSpPr>
        <xdr:spPr>
          <a:xfrm>
            <a:off x="4988269" y="1565488"/>
            <a:ext cx="6999754" cy="4272297"/>
          </a:xfrm>
          <a:prstGeom prst="roundRect">
            <a:avLst>
              <a:gd name="adj" fmla="val 5828"/>
            </a:avLst>
          </a:prstGeom>
          <a:solidFill>
            <a:srgbClr val="CCFFCC"/>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 name="Chart 1">
            <a:extLst>
              <a:ext uri="{FF2B5EF4-FFF2-40B4-BE49-F238E27FC236}">
                <a16:creationId xmlns:a16="http://schemas.microsoft.com/office/drawing/2014/main" id="{981BC6A4-DC51-890B-ADCD-D19130C9ABC8}"/>
              </a:ext>
            </a:extLst>
          </xdr:cNvPr>
          <xdr:cNvGraphicFramePr/>
        </xdr:nvGraphicFramePr>
        <xdr:xfrm>
          <a:off x="4984066" y="1564339"/>
          <a:ext cx="7008160" cy="427459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131641</xdr:colOff>
      <xdr:row>6</xdr:row>
      <xdr:rowOff>31531</xdr:rowOff>
    </xdr:from>
    <xdr:to>
      <xdr:col>14</xdr:col>
      <xdr:colOff>441697</xdr:colOff>
      <xdr:row>21</xdr:row>
      <xdr:rowOff>42041</xdr:rowOff>
    </xdr:to>
    <xdr:grpSp>
      <xdr:nvGrpSpPr>
        <xdr:cNvPr id="4" name="Group 3">
          <a:extLst>
            <a:ext uri="{FF2B5EF4-FFF2-40B4-BE49-F238E27FC236}">
              <a16:creationId xmlns:a16="http://schemas.microsoft.com/office/drawing/2014/main" id="{F525AD02-F8BB-F0BB-D327-4CAC9456A282}"/>
            </a:ext>
          </a:extLst>
        </xdr:cNvPr>
        <xdr:cNvGrpSpPr/>
      </xdr:nvGrpSpPr>
      <xdr:grpSpPr>
        <a:xfrm>
          <a:off x="4803032" y="1144714"/>
          <a:ext cx="4577256" cy="2793466"/>
          <a:chOff x="4798234" y="1135117"/>
          <a:chExt cx="4577256" cy="2769476"/>
        </a:xfrm>
      </xdr:grpSpPr>
      <xdr:sp macro="" textlink="">
        <xdr:nvSpPr>
          <xdr:cNvPr id="3" name="Rectangle: Rounded Corners 2">
            <a:extLst>
              <a:ext uri="{FF2B5EF4-FFF2-40B4-BE49-F238E27FC236}">
                <a16:creationId xmlns:a16="http://schemas.microsoft.com/office/drawing/2014/main" id="{A8C11686-8B32-D8AC-CAF1-5486D854EC12}"/>
              </a:ext>
            </a:extLst>
          </xdr:cNvPr>
          <xdr:cNvSpPr/>
        </xdr:nvSpPr>
        <xdr:spPr>
          <a:xfrm>
            <a:off x="4798234" y="1135117"/>
            <a:ext cx="4577256" cy="2769476"/>
          </a:xfrm>
          <a:prstGeom prst="roundRect">
            <a:avLst>
              <a:gd name="adj" fmla="val 5472"/>
            </a:avLst>
          </a:prstGeom>
          <a:solidFill>
            <a:srgbClr val="CCFFCC"/>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 name="Chart 1">
            <a:extLst>
              <a:ext uri="{FF2B5EF4-FFF2-40B4-BE49-F238E27FC236}">
                <a16:creationId xmlns:a16="http://schemas.microsoft.com/office/drawing/2014/main" id="{76E89A4A-5512-2EA9-8069-8ABE88746FED}"/>
              </a:ext>
            </a:extLst>
          </xdr:cNvPr>
          <xdr:cNvGraphicFramePr/>
        </xdr:nvGraphicFramePr>
        <xdr:xfrm>
          <a:off x="4800862" y="1140372"/>
          <a:ext cx="4572000" cy="2758966"/>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71438</xdr:colOff>
      <xdr:row>6</xdr:row>
      <xdr:rowOff>47625</xdr:rowOff>
    </xdr:from>
    <xdr:to>
      <xdr:col>12</xdr:col>
      <xdr:colOff>376238</xdr:colOff>
      <xdr:row>21</xdr:row>
      <xdr:rowOff>61913</xdr:rowOff>
    </xdr:to>
    <xdr:grpSp>
      <xdr:nvGrpSpPr>
        <xdr:cNvPr id="5" name="Group 4">
          <a:extLst>
            <a:ext uri="{FF2B5EF4-FFF2-40B4-BE49-F238E27FC236}">
              <a16:creationId xmlns:a16="http://schemas.microsoft.com/office/drawing/2014/main" id="{C78D0FE7-00CA-1DB3-21A8-9925EA7EE54F}"/>
            </a:ext>
          </a:extLst>
        </xdr:cNvPr>
        <xdr:cNvGrpSpPr/>
      </xdr:nvGrpSpPr>
      <xdr:grpSpPr>
        <a:xfrm>
          <a:off x="4376738" y="1133475"/>
          <a:ext cx="4572000" cy="2728913"/>
          <a:chOff x="4376738" y="1133475"/>
          <a:chExt cx="4572000" cy="2728913"/>
        </a:xfrm>
      </xdr:grpSpPr>
      <xdr:sp macro="" textlink="">
        <xdr:nvSpPr>
          <xdr:cNvPr id="4" name="Rectangle: Rounded Corners 3">
            <a:extLst>
              <a:ext uri="{FF2B5EF4-FFF2-40B4-BE49-F238E27FC236}">
                <a16:creationId xmlns:a16="http://schemas.microsoft.com/office/drawing/2014/main" id="{E6E0E281-6704-08CF-BDA0-EF962AB5E363}"/>
              </a:ext>
            </a:extLst>
          </xdr:cNvPr>
          <xdr:cNvSpPr/>
        </xdr:nvSpPr>
        <xdr:spPr>
          <a:xfrm>
            <a:off x="4376738" y="1133475"/>
            <a:ext cx="4572000" cy="2728913"/>
          </a:xfrm>
          <a:prstGeom prst="roundRect">
            <a:avLst>
              <a:gd name="adj" fmla="val 5498"/>
            </a:avLst>
          </a:prstGeom>
          <a:solidFill>
            <a:srgbClr val="CCFFCC"/>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 name="Chart 1">
            <a:extLst>
              <a:ext uri="{FF2B5EF4-FFF2-40B4-BE49-F238E27FC236}">
                <a16:creationId xmlns:a16="http://schemas.microsoft.com/office/drawing/2014/main" id="{E9AB18F7-E1B9-43D3-49BD-C25DD6C1D592}"/>
              </a:ext>
            </a:extLst>
          </xdr:cNvPr>
          <xdr:cNvGraphicFramePr/>
        </xdr:nvGraphicFramePr>
        <xdr:xfrm>
          <a:off x="4376738" y="1140619"/>
          <a:ext cx="4572000" cy="271462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123825</xdr:colOff>
      <xdr:row>6</xdr:row>
      <xdr:rowOff>165955</xdr:rowOff>
    </xdr:from>
    <xdr:to>
      <xdr:col>11</xdr:col>
      <xdr:colOff>433388</xdr:colOff>
      <xdr:row>21</xdr:row>
      <xdr:rowOff>175480</xdr:rowOff>
    </xdr:to>
    <xdr:grpSp>
      <xdr:nvGrpSpPr>
        <xdr:cNvPr id="4" name="Group 3">
          <a:extLst>
            <a:ext uri="{FF2B5EF4-FFF2-40B4-BE49-F238E27FC236}">
              <a16:creationId xmlns:a16="http://schemas.microsoft.com/office/drawing/2014/main" id="{E3946A70-B8A6-3B72-6E1D-DBD9AFADFA96}"/>
            </a:ext>
          </a:extLst>
        </xdr:cNvPr>
        <xdr:cNvGrpSpPr/>
      </xdr:nvGrpSpPr>
      <xdr:grpSpPr>
        <a:xfrm>
          <a:off x="3286125" y="1251805"/>
          <a:ext cx="4576763" cy="2724150"/>
          <a:chOff x="3286125" y="1251805"/>
          <a:chExt cx="4576763" cy="2724150"/>
        </a:xfrm>
      </xdr:grpSpPr>
      <xdr:sp macro="" textlink="">
        <xdr:nvSpPr>
          <xdr:cNvPr id="3" name="Rectangle: Rounded Corners 2">
            <a:extLst>
              <a:ext uri="{FF2B5EF4-FFF2-40B4-BE49-F238E27FC236}">
                <a16:creationId xmlns:a16="http://schemas.microsoft.com/office/drawing/2014/main" id="{22FF9FA5-D9B9-4B85-0726-6499A963383F}"/>
              </a:ext>
            </a:extLst>
          </xdr:cNvPr>
          <xdr:cNvSpPr/>
        </xdr:nvSpPr>
        <xdr:spPr>
          <a:xfrm>
            <a:off x="3286125" y="1251805"/>
            <a:ext cx="4576763" cy="2724150"/>
          </a:xfrm>
          <a:prstGeom prst="roundRect">
            <a:avLst>
              <a:gd name="adj" fmla="val 5653"/>
            </a:avLst>
          </a:prstGeom>
          <a:solidFill>
            <a:srgbClr val="CCFFCC"/>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 name="Chart 1">
            <a:extLst>
              <a:ext uri="{FF2B5EF4-FFF2-40B4-BE49-F238E27FC236}">
                <a16:creationId xmlns:a16="http://schemas.microsoft.com/office/drawing/2014/main" id="{3FB8843C-B022-11CF-EDF9-CC7499E4EEF6}"/>
              </a:ext>
            </a:extLst>
          </xdr:cNvPr>
          <xdr:cNvGraphicFramePr/>
        </xdr:nvGraphicFramePr>
        <xdr:xfrm>
          <a:off x="3288506" y="1256568"/>
          <a:ext cx="4572000" cy="271462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6</xdr:row>
      <xdr:rowOff>93345</xdr:rowOff>
    </xdr:from>
    <xdr:to>
      <xdr:col>10</xdr:col>
      <xdr:colOff>539261</xdr:colOff>
      <xdr:row>21</xdr:row>
      <xdr:rowOff>110929</xdr:rowOff>
    </xdr:to>
    <xdr:grpSp>
      <xdr:nvGrpSpPr>
        <xdr:cNvPr id="3" name="Group 2">
          <a:extLst>
            <a:ext uri="{FF2B5EF4-FFF2-40B4-BE49-F238E27FC236}">
              <a16:creationId xmlns:a16="http://schemas.microsoft.com/office/drawing/2014/main" id="{5120C5DF-3D4A-3F2B-E8B7-7F7CFB0C6CB6}"/>
            </a:ext>
          </a:extLst>
        </xdr:cNvPr>
        <xdr:cNvGrpSpPr/>
      </xdr:nvGrpSpPr>
      <xdr:grpSpPr>
        <a:xfrm>
          <a:off x="3434862" y="1183591"/>
          <a:ext cx="4577861" cy="2743200"/>
          <a:chOff x="3434862" y="1183591"/>
          <a:chExt cx="4577861" cy="2743200"/>
        </a:xfrm>
      </xdr:grpSpPr>
      <xdr:sp macro="" textlink="">
        <xdr:nvSpPr>
          <xdr:cNvPr id="2" name="Rectangle: Rounded Corners 1">
            <a:extLst>
              <a:ext uri="{FF2B5EF4-FFF2-40B4-BE49-F238E27FC236}">
                <a16:creationId xmlns:a16="http://schemas.microsoft.com/office/drawing/2014/main" id="{BED26CD1-C992-7FC7-A394-D8E282D50EB0}"/>
              </a:ext>
            </a:extLst>
          </xdr:cNvPr>
          <xdr:cNvSpPr/>
        </xdr:nvSpPr>
        <xdr:spPr>
          <a:xfrm>
            <a:off x="3434862" y="1183591"/>
            <a:ext cx="4577861" cy="2743200"/>
          </a:xfrm>
          <a:prstGeom prst="roundRect">
            <a:avLst>
              <a:gd name="adj" fmla="val 5342"/>
            </a:avLst>
          </a:prstGeom>
          <a:solidFill>
            <a:srgbClr val="CCFFCC"/>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4" name="Chart 3">
            <a:extLst>
              <a:ext uri="{FF2B5EF4-FFF2-40B4-BE49-F238E27FC236}">
                <a16:creationId xmlns:a16="http://schemas.microsoft.com/office/drawing/2014/main" id="{CE1529C3-32E8-B5AB-AC9C-9B1159978277}"/>
              </a:ext>
            </a:extLst>
          </xdr:cNvPr>
          <xdr:cNvGraphicFramePr/>
        </xdr:nvGraphicFramePr>
        <xdr:xfrm>
          <a:off x="3437792" y="1192383"/>
          <a:ext cx="4572000" cy="2725616"/>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561802</xdr:colOff>
      <xdr:row>1</xdr:row>
      <xdr:rowOff>0</xdr:rowOff>
    </xdr:from>
    <xdr:to>
      <xdr:col>25</xdr:col>
      <xdr:colOff>27709</xdr:colOff>
      <xdr:row>48</xdr:row>
      <xdr:rowOff>27709</xdr:rowOff>
    </xdr:to>
    <xdr:sp macro="" textlink="">
      <xdr:nvSpPr>
        <xdr:cNvPr id="2" name="Rectangle: Rounded Corners 1">
          <a:extLst>
            <a:ext uri="{FF2B5EF4-FFF2-40B4-BE49-F238E27FC236}">
              <a16:creationId xmlns:a16="http://schemas.microsoft.com/office/drawing/2014/main" id="{0BB3BEC3-4F1A-AA03-9014-7A034FCFADE8}"/>
            </a:ext>
          </a:extLst>
        </xdr:cNvPr>
        <xdr:cNvSpPr/>
      </xdr:nvSpPr>
      <xdr:spPr>
        <a:xfrm>
          <a:off x="561802" y="180109"/>
          <a:ext cx="14705907" cy="8492836"/>
        </a:xfrm>
        <a:prstGeom prst="roundRect">
          <a:avLst>
            <a:gd name="adj" fmla="val 587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364028</xdr:colOff>
      <xdr:row>1</xdr:row>
      <xdr:rowOff>129540</xdr:rowOff>
    </xdr:from>
    <xdr:to>
      <xdr:col>24</xdr:col>
      <xdr:colOff>336319</xdr:colOff>
      <xdr:row>5</xdr:row>
      <xdr:rowOff>160020</xdr:rowOff>
    </xdr:to>
    <xdr:sp macro="" textlink="">
      <xdr:nvSpPr>
        <xdr:cNvPr id="4" name="Rectangle: Rounded Corners 3">
          <a:extLst>
            <a:ext uri="{FF2B5EF4-FFF2-40B4-BE49-F238E27FC236}">
              <a16:creationId xmlns:a16="http://schemas.microsoft.com/office/drawing/2014/main" id="{8CEE0420-BC6E-5D74-6691-C3F83E439664}"/>
            </a:ext>
          </a:extLst>
        </xdr:cNvPr>
        <xdr:cNvSpPr/>
      </xdr:nvSpPr>
      <xdr:spPr>
        <a:xfrm>
          <a:off x="973628" y="309649"/>
          <a:ext cx="13993091" cy="750916"/>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400" b="1"/>
            <a:t>Understanding Customer Behavior</a:t>
          </a:r>
        </a:p>
        <a:p>
          <a:pPr algn="ctr"/>
          <a:r>
            <a:rPr lang="en-PH" sz="1200" i="1"/>
            <a:t>Purchase Patterns, Demographics &amp; Customer Satisfaction Analysis | 2016–2018</a:t>
          </a:r>
          <a:endParaRPr lang="en-PH" sz="1200" b="1" i="1"/>
        </a:p>
      </xdr:txBody>
    </xdr:sp>
    <xdr:clientData/>
  </xdr:twoCellAnchor>
  <xdr:twoCellAnchor>
    <xdr:from>
      <xdr:col>1</xdr:col>
      <xdr:colOff>289954</xdr:colOff>
      <xdr:row>6</xdr:row>
      <xdr:rowOff>175217</xdr:rowOff>
    </xdr:from>
    <xdr:to>
      <xdr:col>24</xdr:col>
      <xdr:colOff>410392</xdr:colOff>
      <xdr:row>47</xdr:row>
      <xdr:rowOff>73083</xdr:rowOff>
    </xdr:to>
    <xdr:grpSp>
      <xdr:nvGrpSpPr>
        <xdr:cNvPr id="27" name="Group 26">
          <a:extLst>
            <a:ext uri="{FF2B5EF4-FFF2-40B4-BE49-F238E27FC236}">
              <a16:creationId xmlns:a16="http://schemas.microsoft.com/office/drawing/2014/main" id="{A33F98A8-D062-210D-62B1-D46832846FFE}"/>
            </a:ext>
          </a:extLst>
        </xdr:cNvPr>
        <xdr:cNvGrpSpPr/>
      </xdr:nvGrpSpPr>
      <xdr:grpSpPr>
        <a:xfrm>
          <a:off x="899554" y="1255872"/>
          <a:ext cx="14141238" cy="7282338"/>
          <a:chOff x="820678" y="1255872"/>
          <a:chExt cx="14141238" cy="7282338"/>
        </a:xfrm>
      </xdr:grpSpPr>
      <xdr:grpSp>
        <xdr:nvGrpSpPr>
          <xdr:cNvPr id="8" name="Group 7">
            <a:extLst>
              <a:ext uri="{FF2B5EF4-FFF2-40B4-BE49-F238E27FC236}">
                <a16:creationId xmlns:a16="http://schemas.microsoft.com/office/drawing/2014/main" id="{ABABF01E-E03A-4A1A-AAAA-A68D5D1F91F4}"/>
              </a:ext>
            </a:extLst>
          </xdr:cNvPr>
          <xdr:cNvGrpSpPr/>
        </xdr:nvGrpSpPr>
        <xdr:grpSpPr>
          <a:xfrm>
            <a:off x="820678" y="1255872"/>
            <a:ext cx="7020000" cy="4320000"/>
            <a:chOff x="4984066" y="1564339"/>
            <a:chExt cx="7008160" cy="4274595"/>
          </a:xfrm>
        </xdr:grpSpPr>
        <xdr:sp macro="" textlink="">
          <xdr:nvSpPr>
            <xdr:cNvPr id="9" name="Rectangle: Rounded Corners 8">
              <a:extLst>
                <a:ext uri="{FF2B5EF4-FFF2-40B4-BE49-F238E27FC236}">
                  <a16:creationId xmlns:a16="http://schemas.microsoft.com/office/drawing/2014/main" id="{F259BC9A-121C-8DCE-9B92-BCFC83201EDA}"/>
                </a:ext>
              </a:extLst>
            </xdr:cNvPr>
            <xdr:cNvSpPr/>
          </xdr:nvSpPr>
          <xdr:spPr>
            <a:xfrm>
              <a:off x="4988269" y="1565488"/>
              <a:ext cx="6999754" cy="4272297"/>
            </a:xfrm>
            <a:prstGeom prst="roundRect">
              <a:avLst>
                <a:gd name="adj" fmla="val 5828"/>
              </a:avLst>
            </a:prstGeom>
            <a:solidFill>
              <a:srgbClr val="CCFFCC"/>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10" name="Chart 9">
              <a:extLst>
                <a:ext uri="{FF2B5EF4-FFF2-40B4-BE49-F238E27FC236}">
                  <a16:creationId xmlns:a16="http://schemas.microsoft.com/office/drawing/2014/main" id="{6EB9A3B8-CD4B-D405-B728-5A7641E48BFD}"/>
                </a:ext>
              </a:extLst>
            </xdr:cNvPr>
            <xdr:cNvGraphicFramePr/>
          </xdr:nvGraphicFramePr>
          <xdr:xfrm>
            <a:off x="4984066" y="1564339"/>
            <a:ext cx="7008160" cy="4274595"/>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14" name="Group 13">
            <a:extLst>
              <a:ext uri="{FF2B5EF4-FFF2-40B4-BE49-F238E27FC236}">
                <a16:creationId xmlns:a16="http://schemas.microsoft.com/office/drawing/2014/main" id="{198FDB8A-CA4E-4FB3-8C05-FBB2E83AA8CD}"/>
              </a:ext>
            </a:extLst>
          </xdr:cNvPr>
          <xdr:cNvGrpSpPr/>
        </xdr:nvGrpSpPr>
        <xdr:grpSpPr>
          <a:xfrm>
            <a:off x="5600496" y="5744744"/>
            <a:ext cx="4577256" cy="2793466"/>
            <a:chOff x="4798234" y="1135117"/>
            <a:chExt cx="4577256" cy="2769476"/>
          </a:xfrm>
        </xdr:grpSpPr>
        <xdr:sp macro="" textlink="">
          <xdr:nvSpPr>
            <xdr:cNvPr id="15" name="Rectangle: Rounded Corners 14">
              <a:extLst>
                <a:ext uri="{FF2B5EF4-FFF2-40B4-BE49-F238E27FC236}">
                  <a16:creationId xmlns:a16="http://schemas.microsoft.com/office/drawing/2014/main" id="{56D3E697-E564-B6B3-7F9B-B09EC66C5078}"/>
                </a:ext>
              </a:extLst>
            </xdr:cNvPr>
            <xdr:cNvSpPr/>
          </xdr:nvSpPr>
          <xdr:spPr>
            <a:xfrm>
              <a:off x="4798234" y="1135117"/>
              <a:ext cx="4577256" cy="2769476"/>
            </a:xfrm>
            <a:prstGeom prst="roundRect">
              <a:avLst>
                <a:gd name="adj" fmla="val 5472"/>
              </a:avLst>
            </a:prstGeom>
            <a:solidFill>
              <a:srgbClr val="CCFFCC"/>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16" name="Chart 15">
              <a:extLst>
                <a:ext uri="{FF2B5EF4-FFF2-40B4-BE49-F238E27FC236}">
                  <a16:creationId xmlns:a16="http://schemas.microsoft.com/office/drawing/2014/main" id="{DC3E9059-1120-150D-23A4-654ACBF5512A}"/>
                </a:ext>
              </a:extLst>
            </xdr:cNvPr>
            <xdr:cNvGraphicFramePr/>
          </xdr:nvGraphicFramePr>
          <xdr:xfrm>
            <a:off x="4800862" y="1140372"/>
            <a:ext cx="4572000" cy="275896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17" name="Group 16">
            <a:extLst>
              <a:ext uri="{FF2B5EF4-FFF2-40B4-BE49-F238E27FC236}">
                <a16:creationId xmlns:a16="http://schemas.microsoft.com/office/drawing/2014/main" id="{6999F5E7-A75D-4E59-9E43-DE8B7F7A3D6B}"/>
              </a:ext>
            </a:extLst>
          </xdr:cNvPr>
          <xdr:cNvGrpSpPr/>
        </xdr:nvGrpSpPr>
        <xdr:grpSpPr>
          <a:xfrm>
            <a:off x="7941916" y="1255872"/>
            <a:ext cx="7020000" cy="4320000"/>
            <a:chOff x="4376738" y="1133475"/>
            <a:chExt cx="4572000" cy="2728913"/>
          </a:xfrm>
        </xdr:grpSpPr>
        <xdr:sp macro="" textlink="">
          <xdr:nvSpPr>
            <xdr:cNvPr id="18" name="Rectangle: Rounded Corners 17">
              <a:extLst>
                <a:ext uri="{FF2B5EF4-FFF2-40B4-BE49-F238E27FC236}">
                  <a16:creationId xmlns:a16="http://schemas.microsoft.com/office/drawing/2014/main" id="{94730F16-5AB7-2E12-3448-D55C2DFACFF2}"/>
                </a:ext>
              </a:extLst>
            </xdr:cNvPr>
            <xdr:cNvSpPr/>
          </xdr:nvSpPr>
          <xdr:spPr>
            <a:xfrm>
              <a:off x="4376738" y="1133475"/>
              <a:ext cx="4572000" cy="2728913"/>
            </a:xfrm>
            <a:prstGeom prst="roundRect">
              <a:avLst>
                <a:gd name="adj" fmla="val 5498"/>
              </a:avLst>
            </a:prstGeom>
            <a:solidFill>
              <a:srgbClr val="CCFFCC"/>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19" name="Chart 18">
              <a:extLst>
                <a:ext uri="{FF2B5EF4-FFF2-40B4-BE49-F238E27FC236}">
                  <a16:creationId xmlns:a16="http://schemas.microsoft.com/office/drawing/2014/main" id="{D7AC9021-CFC7-6815-AAF9-3D1E11DACB5A}"/>
                </a:ext>
              </a:extLst>
            </xdr:cNvPr>
            <xdr:cNvGraphicFramePr/>
          </xdr:nvGraphicFramePr>
          <xdr:xfrm>
            <a:off x="4376738" y="1140619"/>
            <a:ext cx="4572000" cy="2714625"/>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20" name="Group 19">
            <a:extLst>
              <a:ext uri="{FF2B5EF4-FFF2-40B4-BE49-F238E27FC236}">
                <a16:creationId xmlns:a16="http://schemas.microsoft.com/office/drawing/2014/main" id="{5F17387B-8FBE-46C5-81CE-F7537DE17D46}"/>
              </a:ext>
            </a:extLst>
          </xdr:cNvPr>
          <xdr:cNvGrpSpPr/>
        </xdr:nvGrpSpPr>
        <xdr:grpSpPr>
          <a:xfrm>
            <a:off x="820678" y="5744744"/>
            <a:ext cx="4576763" cy="2724150"/>
            <a:chOff x="3286125" y="1251805"/>
            <a:chExt cx="4576763" cy="2724150"/>
          </a:xfrm>
        </xdr:grpSpPr>
        <xdr:sp macro="" textlink="">
          <xdr:nvSpPr>
            <xdr:cNvPr id="21" name="Rectangle: Rounded Corners 20">
              <a:extLst>
                <a:ext uri="{FF2B5EF4-FFF2-40B4-BE49-F238E27FC236}">
                  <a16:creationId xmlns:a16="http://schemas.microsoft.com/office/drawing/2014/main" id="{153048AB-A569-C9E5-40E9-E4F15A101D00}"/>
                </a:ext>
              </a:extLst>
            </xdr:cNvPr>
            <xdr:cNvSpPr/>
          </xdr:nvSpPr>
          <xdr:spPr>
            <a:xfrm>
              <a:off x="3286125" y="1251805"/>
              <a:ext cx="4576763" cy="2724150"/>
            </a:xfrm>
            <a:prstGeom prst="roundRect">
              <a:avLst>
                <a:gd name="adj" fmla="val 5653"/>
              </a:avLst>
            </a:prstGeom>
            <a:solidFill>
              <a:srgbClr val="CCFFCC"/>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2" name="Chart 21">
              <a:extLst>
                <a:ext uri="{FF2B5EF4-FFF2-40B4-BE49-F238E27FC236}">
                  <a16:creationId xmlns:a16="http://schemas.microsoft.com/office/drawing/2014/main" id="{19E5FF30-3EAF-F0FC-5A9F-E9151B906F83}"/>
                </a:ext>
              </a:extLst>
            </xdr:cNvPr>
            <xdr:cNvGraphicFramePr/>
          </xdr:nvGraphicFramePr>
          <xdr:xfrm>
            <a:off x="3288506" y="1256568"/>
            <a:ext cx="4572000" cy="2714625"/>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23" name="Group 22">
            <a:extLst>
              <a:ext uri="{FF2B5EF4-FFF2-40B4-BE49-F238E27FC236}">
                <a16:creationId xmlns:a16="http://schemas.microsoft.com/office/drawing/2014/main" id="{B95457B7-91C0-4CA8-9669-5E3A7A242F99}"/>
              </a:ext>
            </a:extLst>
          </xdr:cNvPr>
          <xdr:cNvGrpSpPr/>
        </xdr:nvGrpSpPr>
        <xdr:grpSpPr>
          <a:xfrm>
            <a:off x="10384055" y="5744744"/>
            <a:ext cx="4577861" cy="2743200"/>
            <a:chOff x="3434862" y="1183591"/>
            <a:chExt cx="4577861" cy="2743200"/>
          </a:xfrm>
        </xdr:grpSpPr>
        <xdr:sp macro="" textlink="">
          <xdr:nvSpPr>
            <xdr:cNvPr id="24" name="Rectangle: Rounded Corners 23">
              <a:extLst>
                <a:ext uri="{FF2B5EF4-FFF2-40B4-BE49-F238E27FC236}">
                  <a16:creationId xmlns:a16="http://schemas.microsoft.com/office/drawing/2014/main" id="{6AC3E19B-AB03-9642-C708-F087FE5BEF7F}"/>
                </a:ext>
              </a:extLst>
            </xdr:cNvPr>
            <xdr:cNvSpPr/>
          </xdr:nvSpPr>
          <xdr:spPr>
            <a:xfrm>
              <a:off x="3434862" y="1183591"/>
              <a:ext cx="4577861" cy="2743200"/>
            </a:xfrm>
            <a:prstGeom prst="roundRect">
              <a:avLst>
                <a:gd name="adj" fmla="val 5342"/>
              </a:avLst>
            </a:prstGeom>
            <a:solidFill>
              <a:srgbClr val="CCFFCC"/>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5" name="Chart 24">
              <a:extLst>
                <a:ext uri="{FF2B5EF4-FFF2-40B4-BE49-F238E27FC236}">
                  <a16:creationId xmlns:a16="http://schemas.microsoft.com/office/drawing/2014/main" id="{CB12E7F9-8207-C2D9-A281-CF25DAA200FD}"/>
                </a:ext>
              </a:extLst>
            </xdr:cNvPr>
            <xdr:cNvGraphicFramePr/>
          </xdr:nvGraphicFramePr>
          <xdr:xfrm>
            <a:off x="3437792" y="1192383"/>
            <a:ext cx="4572000" cy="2725616"/>
          </xdr:xfrm>
          <a:graphic>
            <a:graphicData uri="http://schemas.openxmlformats.org/drawingml/2006/chart">
              <c:chart xmlns:c="http://schemas.openxmlformats.org/drawingml/2006/chart" xmlns:r="http://schemas.openxmlformats.org/officeDocument/2006/relationships" r:id="rId5"/>
            </a:graphicData>
          </a:graphic>
        </xdr:graphicFrame>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6</xdr:col>
      <xdr:colOff>556260</xdr:colOff>
      <xdr:row>2</xdr:row>
      <xdr:rowOff>121920</xdr:rowOff>
    </xdr:from>
    <xdr:to>
      <xdr:col>9</xdr:col>
      <xdr:colOff>556260</xdr:colOff>
      <xdr:row>16</xdr:row>
      <xdr:rowOff>142875</xdr:rowOff>
    </xdr:to>
    <mc:AlternateContent xmlns:mc="http://schemas.openxmlformats.org/markup-compatibility/2006" xmlns:sle15="http://schemas.microsoft.com/office/drawing/2012/slicer">
      <mc:Choice Requires="sle15">
        <xdr:graphicFrame macro="">
          <xdr:nvGraphicFramePr>
            <xdr:cNvPr id="2" name="Year ">
              <a:extLst>
                <a:ext uri="{FF2B5EF4-FFF2-40B4-BE49-F238E27FC236}">
                  <a16:creationId xmlns:a16="http://schemas.microsoft.com/office/drawing/2014/main" id="{6E06C3C2-4023-85D5-D450-3DAF85644E1C}"/>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5478780" y="487680"/>
              <a:ext cx="1828800" cy="2581275"/>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43669</xdr:colOff>
      <xdr:row>18</xdr:row>
      <xdr:rowOff>2785</xdr:rowOff>
    </xdr:from>
    <xdr:to>
      <xdr:col>14</xdr:col>
      <xdr:colOff>354330</xdr:colOff>
      <xdr:row>33</xdr:row>
      <xdr:rowOff>14507</xdr:rowOff>
    </xdr:to>
    <xdr:grpSp>
      <xdr:nvGrpSpPr>
        <xdr:cNvPr id="6" name="Group 5">
          <a:extLst>
            <a:ext uri="{FF2B5EF4-FFF2-40B4-BE49-F238E27FC236}">
              <a16:creationId xmlns:a16="http://schemas.microsoft.com/office/drawing/2014/main" id="{ECE42A2A-A846-F218-0DAF-224FB7A3C9AB}"/>
            </a:ext>
          </a:extLst>
        </xdr:cNvPr>
        <xdr:cNvGrpSpPr/>
      </xdr:nvGrpSpPr>
      <xdr:grpSpPr>
        <a:xfrm>
          <a:off x="5576961" y="3273523"/>
          <a:ext cx="4577861" cy="2737338"/>
          <a:chOff x="5576961" y="3273523"/>
          <a:chExt cx="4577861" cy="2737338"/>
        </a:xfrm>
      </xdr:grpSpPr>
      <xdr:sp macro="" textlink="">
        <xdr:nvSpPr>
          <xdr:cNvPr id="4" name="Rectangle: Rounded Corners 3">
            <a:extLst>
              <a:ext uri="{FF2B5EF4-FFF2-40B4-BE49-F238E27FC236}">
                <a16:creationId xmlns:a16="http://schemas.microsoft.com/office/drawing/2014/main" id="{1A1165CD-F50D-C37C-95FD-296721AB40DA}"/>
              </a:ext>
            </a:extLst>
          </xdr:cNvPr>
          <xdr:cNvSpPr/>
        </xdr:nvSpPr>
        <xdr:spPr>
          <a:xfrm>
            <a:off x="5576961" y="3273523"/>
            <a:ext cx="4577861" cy="2737338"/>
          </a:xfrm>
          <a:prstGeom prst="roundRect">
            <a:avLst>
              <a:gd name="adj" fmla="val 6174"/>
            </a:avLst>
          </a:prstGeom>
          <a:solidFill>
            <a:srgbClr val="FFFFCC"/>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3" name="Chart 2">
            <a:extLst>
              <a:ext uri="{FF2B5EF4-FFF2-40B4-BE49-F238E27FC236}">
                <a16:creationId xmlns:a16="http://schemas.microsoft.com/office/drawing/2014/main" id="{29D3C9CE-7CBA-1250-C68F-71FEB5288A8C}"/>
              </a:ext>
            </a:extLst>
          </xdr:cNvPr>
          <xdr:cNvGraphicFramePr/>
        </xdr:nvGraphicFramePr>
        <xdr:xfrm>
          <a:off x="5579891" y="3279385"/>
          <a:ext cx="4572000" cy="272561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213360</xdr:colOff>
      <xdr:row>5</xdr:row>
      <xdr:rowOff>45720</xdr:rowOff>
    </xdr:from>
    <xdr:to>
      <xdr:col>14</xdr:col>
      <xdr:colOff>486960</xdr:colOff>
      <xdr:row>22</xdr:row>
      <xdr:rowOff>176760</xdr:rowOff>
    </xdr:to>
    <xdr:grpSp>
      <xdr:nvGrpSpPr>
        <xdr:cNvPr id="4" name="Group 3">
          <a:extLst>
            <a:ext uri="{FF2B5EF4-FFF2-40B4-BE49-F238E27FC236}">
              <a16:creationId xmlns:a16="http://schemas.microsoft.com/office/drawing/2014/main" id="{0A34EAB2-D886-8170-6E88-3E0B9C84933D}"/>
            </a:ext>
          </a:extLst>
        </xdr:cNvPr>
        <xdr:cNvGrpSpPr/>
      </xdr:nvGrpSpPr>
      <xdr:grpSpPr>
        <a:xfrm>
          <a:off x="5219700" y="960120"/>
          <a:ext cx="5760000" cy="3240000"/>
          <a:chOff x="5219700" y="960120"/>
          <a:chExt cx="5692140" cy="3299460"/>
        </a:xfrm>
      </xdr:grpSpPr>
      <xdr:sp macro="" textlink="">
        <xdr:nvSpPr>
          <xdr:cNvPr id="3" name="Rectangle: Rounded Corners 2">
            <a:extLst>
              <a:ext uri="{FF2B5EF4-FFF2-40B4-BE49-F238E27FC236}">
                <a16:creationId xmlns:a16="http://schemas.microsoft.com/office/drawing/2014/main" id="{6D332146-C302-B1C9-C558-2B5C6F34503E}"/>
              </a:ext>
            </a:extLst>
          </xdr:cNvPr>
          <xdr:cNvSpPr/>
        </xdr:nvSpPr>
        <xdr:spPr>
          <a:xfrm>
            <a:off x="5219700" y="960120"/>
            <a:ext cx="5692140" cy="3299460"/>
          </a:xfrm>
          <a:prstGeom prst="roundRect">
            <a:avLst>
              <a:gd name="adj" fmla="val 6736"/>
            </a:avLst>
          </a:prstGeom>
          <a:solidFill>
            <a:srgbClr val="FFFFCC"/>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 name="Chart 1">
            <a:extLst>
              <a:ext uri="{FF2B5EF4-FFF2-40B4-BE49-F238E27FC236}">
                <a16:creationId xmlns:a16="http://schemas.microsoft.com/office/drawing/2014/main" id="{10A582B1-B416-DAA5-1CE6-35DD805BEFAC}"/>
              </a:ext>
            </a:extLst>
          </xdr:cNvPr>
          <xdr:cNvGraphicFramePr/>
        </xdr:nvGraphicFramePr>
        <xdr:xfrm>
          <a:off x="5227320" y="965835"/>
          <a:ext cx="5676900" cy="328803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303616</xdr:colOff>
      <xdr:row>7</xdr:row>
      <xdr:rowOff>4401</xdr:rowOff>
    </xdr:from>
    <xdr:to>
      <xdr:col>14</xdr:col>
      <xdr:colOff>577216</xdr:colOff>
      <xdr:row>24</xdr:row>
      <xdr:rowOff>117573</xdr:rowOff>
    </xdr:to>
    <xdr:grpSp>
      <xdr:nvGrpSpPr>
        <xdr:cNvPr id="4" name="Group 3">
          <a:extLst>
            <a:ext uri="{FF2B5EF4-FFF2-40B4-BE49-F238E27FC236}">
              <a16:creationId xmlns:a16="http://schemas.microsoft.com/office/drawing/2014/main" id="{7CEAEE52-FA62-81BC-4568-A93135CBE8F1}"/>
            </a:ext>
          </a:extLst>
        </xdr:cNvPr>
        <xdr:cNvGrpSpPr/>
      </xdr:nvGrpSpPr>
      <xdr:grpSpPr>
        <a:xfrm>
          <a:off x="5485216" y="1291918"/>
          <a:ext cx="5760000" cy="3240000"/>
          <a:chOff x="5485217" y="1291919"/>
          <a:chExt cx="4582511" cy="2774731"/>
        </a:xfrm>
      </xdr:grpSpPr>
      <xdr:sp macro="" textlink="">
        <xdr:nvSpPr>
          <xdr:cNvPr id="3" name="Rectangle: Rounded Corners 2">
            <a:extLst>
              <a:ext uri="{FF2B5EF4-FFF2-40B4-BE49-F238E27FC236}">
                <a16:creationId xmlns:a16="http://schemas.microsoft.com/office/drawing/2014/main" id="{D61850E8-C538-4478-3721-64D1D37E4BE0}"/>
              </a:ext>
            </a:extLst>
          </xdr:cNvPr>
          <xdr:cNvSpPr/>
        </xdr:nvSpPr>
        <xdr:spPr>
          <a:xfrm>
            <a:off x="5485217" y="1291919"/>
            <a:ext cx="4582511" cy="2774731"/>
          </a:xfrm>
          <a:prstGeom prst="roundRect">
            <a:avLst>
              <a:gd name="adj" fmla="val 6818"/>
            </a:avLst>
          </a:prstGeom>
          <a:solidFill>
            <a:srgbClr val="FFFFCC"/>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 name="Chart 1">
            <a:extLst>
              <a:ext uri="{FF2B5EF4-FFF2-40B4-BE49-F238E27FC236}">
                <a16:creationId xmlns:a16="http://schemas.microsoft.com/office/drawing/2014/main" id="{5C748FDD-98AB-755B-9E0F-5C8FC0FB45D2}"/>
              </a:ext>
            </a:extLst>
          </xdr:cNvPr>
          <xdr:cNvGraphicFramePr/>
        </xdr:nvGraphicFramePr>
        <xdr:xfrm>
          <a:off x="5490472" y="1299801"/>
          <a:ext cx="4572000" cy="2758966"/>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106588</xdr:colOff>
      <xdr:row>6</xdr:row>
      <xdr:rowOff>123325</xdr:rowOff>
    </xdr:from>
    <xdr:to>
      <xdr:col>10</xdr:col>
      <xdr:colOff>364092</xdr:colOff>
      <xdr:row>21</xdr:row>
      <xdr:rowOff>102304</xdr:rowOff>
    </xdr:to>
    <xdr:grpSp>
      <xdr:nvGrpSpPr>
        <xdr:cNvPr id="4" name="Group 3">
          <a:extLst>
            <a:ext uri="{FF2B5EF4-FFF2-40B4-BE49-F238E27FC236}">
              <a16:creationId xmlns:a16="http://schemas.microsoft.com/office/drawing/2014/main" id="{394DBC41-D6C5-7E72-CAA3-0D4C5AAFB955}"/>
            </a:ext>
          </a:extLst>
        </xdr:cNvPr>
        <xdr:cNvGrpSpPr/>
      </xdr:nvGrpSpPr>
      <xdr:grpSpPr>
        <a:xfrm>
          <a:off x="3806229" y="1226911"/>
          <a:ext cx="4587766" cy="2737945"/>
          <a:chOff x="3806229" y="1226911"/>
          <a:chExt cx="4587766" cy="2737945"/>
        </a:xfrm>
      </xdr:grpSpPr>
      <xdr:sp macro="" textlink="">
        <xdr:nvSpPr>
          <xdr:cNvPr id="3" name="Rectangle: Rounded Corners 2">
            <a:extLst>
              <a:ext uri="{FF2B5EF4-FFF2-40B4-BE49-F238E27FC236}">
                <a16:creationId xmlns:a16="http://schemas.microsoft.com/office/drawing/2014/main" id="{46297834-5E73-90EC-407E-40F111E4625C}"/>
              </a:ext>
            </a:extLst>
          </xdr:cNvPr>
          <xdr:cNvSpPr/>
        </xdr:nvSpPr>
        <xdr:spPr>
          <a:xfrm>
            <a:off x="3806229" y="1226911"/>
            <a:ext cx="4587766" cy="2737945"/>
          </a:xfrm>
          <a:prstGeom prst="roundRect">
            <a:avLst>
              <a:gd name="adj" fmla="val 6878"/>
            </a:avLst>
          </a:prstGeom>
          <a:solidFill>
            <a:srgbClr val="FFFFCC"/>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 name="Chart 1">
            <a:extLst>
              <a:ext uri="{FF2B5EF4-FFF2-40B4-BE49-F238E27FC236}">
                <a16:creationId xmlns:a16="http://schemas.microsoft.com/office/drawing/2014/main" id="{6A242724-4C36-535E-19E3-8B44F3723B9C}"/>
              </a:ext>
            </a:extLst>
          </xdr:cNvPr>
          <xdr:cNvGraphicFramePr/>
        </xdr:nvGraphicFramePr>
        <xdr:xfrm>
          <a:off x="3812398" y="1236278"/>
          <a:ext cx="4575428" cy="271921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384810</xdr:colOff>
      <xdr:row>7</xdr:row>
      <xdr:rowOff>160020</xdr:rowOff>
    </xdr:from>
    <xdr:to>
      <xdr:col>12</xdr:col>
      <xdr:colOff>140970</xdr:colOff>
      <xdr:row>25</xdr:row>
      <xdr:rowOff>129540</xdr:rowOff>
    </xdr:to>
    <xdr:grpSp>
      <xdr:nvGrpSpPr>
        <xdr:cNvPr id="5" name="Group 4">
          <a:extLst>
            <a:ext uri="{FF2B5EF4-FFF2-40B4-BE49-F238E27FC236}">
              <a16:creationId xmlns:a16="http://schemas.microsoft.com/office/drawing/2014/main" id="{C1082079-5467-4AFF-B230-FC7282BDBF1F}"/>
            </a:ext>
          </a:extLst>
        </xdr:cNvPr>
        <xdr:cNvGrpSpPr/>
      </xdr:nvGrpSpPr>
      <xdr:grpSpPr>
        <a:xfrm>
          <a:off x="2922270" y="1440180"/>
          <a:ext cx="5768340" cy="3261360"/>
          <a:chOff x="2922270" y="1440180"/>
          <a:chExt cx="5768340" cy="3261360"/>
        </a:xfrm>
      </xdr:grpSpPr>
      <xdr:sp macro="" textlink="">
        <xdr:nvSpPr>
          <xdr:cNvPr id="4" name="Rectangle: Rounded Corners 3">
            <a:extLst>
              <a:ext uri="{FF2B5EF4-FFF2-40B4-BE49-F238E27FC236}">
                <a16:creationId xmlns:a16="http://schemas.microsoft.com/office/drawing/2014/main" id="{92A9741A-C84A-1B07-0E7F-2BCECBC0CDF9}"/>
              </a:ext>
            </a:extLst>
          </xdr:cNvPr>
          <xdr:cNvSpPr/>
        </xdr:nvSpPr>
        <xdr:spPr>
          <a:xfrm>
            <a:off x="2922270" y="1440180"/>
            <a:ext cx="5768340" cy="3261360"/>
          </a:xfrm>
          <a:prstGeom prst="roundRect">
            <a:avLst>
              <a:gd name="adj" fmla="val 6387"/>
            </a:avLst>
          </a:prstGeom>
          <a:solidFill>
            <a:srgbClr val="FFFFCC"/>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3" name="Chart 2">
            <a:extLst>
              <a:ext uri="{FF2B5EF4-FFF2-40B4-BE49-F238E27FC236}">
                <a16:creationId xmlns:a16="http://schemas.microsoft.com/office/drawing/2014/main" id="{5E3AAE92-5CB2-B353-EC77-16E7D1B3C120}"/>
              </a:ext>
            </a:extLst>
          </xdr:cNvPr>
          <xdr:cNvGraphicFramePr/>
        </xdr:nvGraphicFramePr>
        <xdr:xfrm>
          <a:off x="2926080" y="1442085"/>
          <a:ext cx="5760720" cy="32575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609599</xdr:colOff>
      <xdr:row>1</xdr:row>
      <xdr:rowOff>13854</xdr:rowOff>
    </xdr:from>
    <xdr:to>
      <xdr:col>23</xdr:col>
      <xdr:colOff>13855</xdr:colOff>
      <xdr:row>41</xdr:row>
      <xdr:rowOff>57150</xdr:rowOff>
    </xdr:to>
    <xdr:sp macro="" textlink="">
      <xdr:nvSpPr>
        <xdr:cNvPr id="3" name="Rectangle: Rounded Corners 2">
          <a:extLst>
            <a:ext uri="{FF2B5EF4-FFF2-40B4-BE49-F238E27FC236}">
              <a16:creationId xmlns:a16="http://schemas.microsoft.com/office/drawing/2014/main" id="{D58E487D-92C0-1278-DDE1-B6D73836E2E1}"/>
            </a:ext>
          </a:extLst>
        </xdr:cNvPr>
        <xdr:cNvSpPr/>
      </xdr:nvSpPr>
      <xdr:spPr>
        <a:xfrm>
          <a:off x="609599" y="193963"/>
          <a:ext cx="13425056" cy="7247660"/>
        </a:xfrm>
        <a:prstGeom prst="roundRect">
          <a:avLst>
            <a:gd name="adj" fmla="val 339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190499</xdr:colOff>
      <xdr:row>2</xdr:row>
      <xdr:rowOff>1</xdr:rowOff>
    </xdr:from>
    <xdr:to>
      <xdr:col>22</xdr:col>
      <xdr:colOff>458795</xdr:colOff>
      <xdr:row>6</xdr:row>
      <xdr:rowOff>19396</xdr:rowOff>
    </xdr:to>
    <xdr:sp macro="" textlink="">
      <xdr:nvSpPr>
        <xdr:cNvPr id="2" name="Rectangle: Rounded Corners 1">
          <a:extLst>
            <a:ext uri="{FF2B5EF4-FFF2-40B4-BE49-F238E27FC236}">
              <a16:creationId xmlns:a16="http://schemas.microsoft.com/office/drawing/2014/main" id="{C5A53701-6667-4257-8B45-0390D9A56487}"/>
            </a:ext>
          </a:extLst>
        </xdr:cNvPr>
        <xdr:cNvSpPr/>
      </xdr:nvSpPr>
      <xdr:spPr>
        <a:xfrm>
          <a:off x="800099" y="360219"/>
          <a:ext cx="13069896" cy="739832"/>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400" b="1"/>
            <a:t>Evaluating Sales Performance</a:t>
          </a:r>
        </a:p>
        <a:p>
          <a:pPr algn="ctr"/>
          <a:r>
            <a:rPr lang="en-PH" sz="1200" i="1"/>
            <a:t>Revenue Trends, Product Categories &amp; Payment Analysis | 2016–2018</a:t>
          </a:r>
          <a:endParaRPr lang="en-PH" sz="1200" b="1" i="1"/>
        </a:p>
      </xdr:txBody>
    </xdr:sp>
    <xdr:clientData/>
  </xdr:twoCellAnchor>
  <xdr:twoCellAnchor>
    <xdr:from>
      <xdr:col>1</xdr:col>
      <xdr:colOff>195354</xdr:colOff>
      <xdr:row>7</xdr:row>
      <xdr:rowOff>39832</xdr:rowOff>
    </xdr:from>
    <xdr:to>
      <xdr:col>22</xdr:col>
      <xdr:colOff>454600</xdr:colOff>
      <xdr:row>40</xdr:row>
      <xdr:rowOff>39598</xdr:rowOff>
    </xdr:to>
    <xdr:grpSp>
      <xdr:nvGrpSpPr>
        <xdr:cNvPr id="25" name="Group 24">
          <a:extLst>
            <a:ext uri="{FF2B5EF4-FFF2-40B4-BE49-F238E27FC236}">
              <a16:creationId xmlns:a16="http://schemas.microsoft.com/office/drawing/2014/main" id="{A949CBCF-DEFA-8E3A-ED54-1F7C86BC831C}"/>
            </a:ext>
          </a:extLst>
        </xdr:cNvPr>
        <xdr:cNvGrpSpPr/>
      </xdr:nvGrpSpPr>
      <xdr:grpSpPr>
        <a:xfrm>
          <a:off x="804954" y="1294891"/>
          <a:ext cx="13060846" cy="5916472"/>
          <a:chOff x="786244" y="1300596"/>
          <a:chExt cx="14011093" cy="5943366"/>
        </a:xfrm>
      </xdr:grpSpPr>
      <xdr:grpSp>
        <xdr:nvGrpSpPr>
          <xdr:cNvPr id="7" name="Group 6">
            <a:extLst>
              <a:ext uri="{FF2B5EF4-FFF2-40B4-BE49-F238E27FC236}">
                <a16:creationId xmlns:a16="http://schemas.microsoft.com/office/drawing/2014/main" id="{1AC80973-FD41-47D4-AD64-3020A9B02A1F}"/>
              </a:ext>
            </a:extLst>
          </xdr:cNvPr>
          <xdr:cNvGrpSpPr/>
        </xdr:nvGrpSpPr>
        <xdr:grpSpPr>
          <a:xfrm>
            <a:off x="1898073" y="4003962"/>
            <a:ext cx="5760000" cy="3240000"/>
            <a:chOff x="5219700" y="960120"/>
            <a:chExt cx="5692140" cy="3299460"/>
          </a:xfrm>
        </xdr:grpSpPr>
        <xdr:sp macro="" textlink="">
          <xdr:nvSpPr>
            <xdr:cNvPr id="8" name="Rectangle: Rounded Corners 7">
              <a:extLst>
                <a:ext uri="{FF2B5EF4-FFF2-40B4-BE49-F238E27FC236}">
                  <a16:creationId xmlns:a16="http://schemas.microsoft.com/office/drawing/2014/main" id="{40E8C1C5-E674-6B2F-45B2-E3C0E54782AB}"/>
                </a:ext>
              </a:extLst>
            </xdr:cNvPr>
            <xdr:cNvSpPr/>
          </xdr:nvSpPr>
          <xdr:spPr>
            <a:xfrm>
              <a:off x="5219700" y="960120"/>
              <a:ext cx="5692140" cy="3299460"/>
            </a:xfrm>
            <a:prstGeom prst="roundRect">
              <a:avLst>
                <a:gd name="adj" fmla="val 6736"/>
              </a:avLst>
            </a:prstGeom>
            <a:solidFill>
              <a:srgbClr val="FFFFCC"/>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9" name="Chart 8">
              <a:extLst>
                <a:ext uri="{FF2B5EF4-FFF2-40B4-BE49-F238E27FC236}">
                  <a16:creationId xmlns:a16="http://schemas.microsoft.com/office/drawing/2014/main" id="{B7C48838-26A1-62A7-29D1-BF297DF3983C}"/>
                </a:ext>
              </a:extLst>
            </xdr:cNvPr>
            <xdr:cNvGraphicFramePr/>
          </xdr:nvGraphicFramePr>
          <xdr:xfrm>
            <a:off x="5227320" y="965835"/>
            <a:ext cx="5676900" cy="328803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10" name="Group 9">
            <a:extLst>
              <a:ext uri="{FF2B5EF4-FFF2-40B4-BE49-F238E27FC236}">
                <a16:creationId xmlns:a16="http://schemas.microsoft.com/office/drawing/2014/main" id="{72587B6E-C1DF-44D0-8D05-64354E013D1E}"/>
              </a:ext>
            </a:extLst>
          </xdr:cNvPr>
          <xdr:cNvGrpSpPr/>
        </xdr:nvGrpSpPr>
        <xdr:grpSpPr>
          <a:xfrm>
            <a:off x="7897093" y="4003962"/>
            <a:ext cx="5760000" cy="3240000"/>
            <a:chOff x="5485217" y="1291919"/>
            <a:chExt cx="4582511" cy="2774731"/>
          </a:xfrm>
        </xdr:grpSpPr>
        <xdr:sp macro="" textlink="">
          <xdr:nvSpPr>
            <xdr:cNvPr id="11" name="Rectangle: Rounded Corners 10">
              <a:extLst>
                <a:ext uri="{FF2B5EF4-FFF2-40B4-BE49-F238E27FC236}">
                  <a16:creationId xmlns:a16="http://schemas.microsoft.com/office/drawing/2014/main" id="{D0D6C9AD-8429-4BA3-0C99-94ADD75DF1F8}"/>
                </a:ext>
              </a:extLst>
            </xdr:cNvPr>
            <xdr:cNvSpPr/>
          </xdr:nvSpPr>
          <xdr:spPr>
            <a:xfrm>
              <a:off x="5485217" y="1291919"/>
              <a:ext cx="4582511" cy="2774731"/>
            </a:xfrm>
            <a:prstGeom prst="roundRect">
              <a:avLst>
                <a:gd name="adj" fmla="val 6818"/>
              </a:avLst>
            </a:prstGeom>
            <a:solidFill>
              <a:srgbClr val="FFFFCC"/>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12" name="Chart 11">
              <a:extLst>
                <a:ext uri="{FF2B5EF4-FFF2-40B4-BE49-F238E27FC236}">
                  <a16:creationId xmlns:a16="http://schemas.microsoft.com/office/drawing/2014/main" id="{9100D209-4C27-9A1D-1A53-A10833516D4D}"/>
                </a:ext>
              </a:extLst>
            </xdr:cNvPr>
            <xdr:cNvGraphicFramePr/>
          </xdr:nvGraphicFramePr>
          <xdr:xfrm>
            <a:off x="5490472" y="1299801"/>
            <a:ext cx="4572000" cy="275896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16" name="Group 15">
            <a:extLst>
              <a:ext uri="{FF2B5EF4-FFF2-40B4-BE49-F238E27FC236}">
                <a16:creationId xmlns:a16="http://schemas.microsoft.com/office/drawing/2014/main" id="{B5FB6354-43C4-4C70-BC70-54BE974E2818}"/>
              </a:ext>
            </a:extLst>
          </xdr:cNvPr>
          <xdr:cNvGrpSpPr/>
        </xdr:nvGrpSpPr>
        <xdr:grpSpPr>
          <a:xfrm>
            <a:off x="10207337" y="1300596"/>
            <a:ext cx="4590000" cy="2544136"/>
            <a:chOff x="2922270" y="1440180"/>
            <a:chExt cx="5768340" cy="3261360"/>
          </a:xfrm>
        </xdr:grpSpPr>
        <xdr:sp macro="" textlink="">
          <xdr:nvSpPr>
            <xdr:cNvPr id="17" name="Rectangle: Rounded Corners 16">
              <a:extLst>
                <a:ext uri="{FF2B5EF4-FFF2-40B4-BE49-F238E27FC236}">
                  <a16:creationId xmlns:a16="http://schemas.microsoft.com/office/drawing/2014/main" id="{A26BF9D2-75CF-5395-C42D-C68861133948}"/>
                </a:ext>
              </a:extLst>
            </xdr:cNvPr>
            <xdr:cNvSpPr/>
          </xdr:nvSpPr>
          <xdr:spPr>
            <a:xfrm>
              <a:off x="2922270" y="1440180"/>
              <a:ext cx="5768340" cy="3261360"/>
            </a:xfrm>
            <a:prstGeom prst="roundRect">
              <a:avLst>
                <a:gd name="adj" fmla="val 6387"/>
              </a:avLst>
            </a:prstGeom>
            <a:solidFill>
              <a:srgbClr val="FFFFCC"/>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18" name="Chart 17">
              <a:extLst>
                <a:ext uri="{FF2B5EF4-FFF2-40B4-BE49-F238E27FC236}">
                  <a16:creationId xmlns:a16="http://schemas.microsoft.com/office/drawing/2014/main" id="{7915F0B7-FE69-B2C6-4371-26D895338435}"/>
                </a:ext>
              </a:extLst>
            </xdr:cNvPr>
            <xdr:cNvGraphicFramePr/>
          </xdr:nvGraphicFramePr>
          <xdr:xfrm>
            <a:off x="2926080" y="1442085"/>
            <a:ext cx="5760720" cy="325755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9" name="Group 18">
            <a:extLst>
              <a:ext uri="{FF2B5EF4-FFF2-40B4-BE49-F238E27FC236}">
                <a16:creationId xmlns:a16="http://schemas.microsoft.com/office/drawing/2014/main" id="{7E887ED2-CB57-4B3F-B849-94F0D5B9D238}"/>
              </a:ext>
            </a:extLst>
          </xdr:cNvPr>
          <xdr:cNvGrpSpPr/>
        </xdr:nvGrpSpPr>
        <xdr:grpSpPr>
          <a:xfrm>
            <a:off x="786244" y="1300596"/>
            <a:ext cx="4590000" cy="2554527"/>
            <a:chOff x="5576961" y="3273523"/>
            <a:chExt cx="4577861" cy="2737338"/>
          </a:xfrm>
        </xdr:grpSpPr>
        <xdr:sp macro="" textlink="">
          <xdr:nvSpPr>
            <xdr:cNvPr id="20" name="Rectangle: Rounded Corners 19">
              <a:extLst>
                <a:ext uri="{FF2B5EF4-FFF2-40B4-BE49-F238E27FC236}">
                  <a16:creationId xmlns:a16="http://schemas.microsoft.com/office/drawing/2014/main" id="{EBD92DA2-7A4F-5C18-DA39-CD8140F6499A}"/>
                </a:ext>
              </a:extLst>
            </xdr:cNvPr>
            <xdr:cNvSpPr/>
          </xdr:nvSpPr>
          <xdr:spPr>
            <a:xfrm>
              <a:off x="5576961" y="3273523"/>
              <a:ext cx="4577861" cy="2737338"/>
            </a:xfrm>
            <a:prstGeom prst="roundRect">
              <a:avLst>
                <a:gd name="adj" fmla="val 6174"/>
              </a:avLst>
            </a:prstGeom>
            <a:solidFill>
              <a:srgbClr val="FFFFCC"/>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1" name="Chart 20">
              <a:extLst>
                <a:ext uri="{FF2B5EF4-FFF2-40B4-BE49-F238E27FC236}">
                  <a16:creationId xmlns:a16="http://schemas.microsoft.com/office/drawing/2014/main" id="{7C7710F2-E89C-F66A-26AD-9408FD57737B}"/>
                </a:ext>
              </a:extLst>
            </xdr:cNvPr>
            <xdr:cNvGraphicFramePr/>
          </xdr:nvGraphicFramePr>
          <xdr:xfrm>
            <a:off x="5579891" y="3279385"/>
            <a:ext cx="4572000" cy="2725615"/>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22" name="Group 21">
            <a:extLst>
              <a:ext uri="{FF2B5EF4-FFF2-40B4-BE49-F238E27FC236}">
                <a16:creationId xmlns:a16="http://schemas.microsoft.com/office/drawing/2014/main" id="{35FE29CF-39FC-42D5-A321-01CA9DD877E2}"/>
              </a:ext>
            </a:extLst>
          </xdr:cNvPr>
          <xdr:cNvGrpSpPr/>
        </xdr:nvGrpSpPr>
        <xdr:grpSpPr>
          <a:xfrm>
            <a:off x="5500254" y="1300596"/>
            <a:ext cx="4590000" cy="2554527"/>
            <a:chOff x="3806229" y="1226911"/>
            <a:chExt cx="4587766" cy="2737945"/>
          </a:xfrm>
        </xdr:grpSpPr>
        <xdr:sp macro="" textlink="">
          <xdr:nvSpPr>
            <xdr:cNvPr id="23" name="Rectangle: Rounded Corners 22">
              <a:extLst>
                <a:ext uri="{FF2B5EF4-FFF2-40B4-BE49-F238E27FC236}">
                  <a16:creationId xmlns:a16="http://schemas.microsoft.com/office/drawing/2014/main" id="{4B692403-5D8B-76A4-B03F-EBBC46E808F8}"/>
                </a:ext>
              </a:extLst>
            </xdr:cNvPr>
            <xdr:cNvSpPr/>
          </xdr:nvSpPr>
          <xdr:spPr>
            <a:xfrm>
              <a:off x="3806229" y="1226911"/>
              <a:ext cx="4587766" cy="2737945"/>
            </a:xfrm>
            <a:prstGeom prst="roundRect">
              <a:avLst>
                <a:gd name="adj" fmla="val 6878"/>
              </a:avLst>
            </a:prstGeom>
            <a:solidFill>
              <a:srgbClr val="FFFFCC"/>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4" name="Chart 23">
              <a:extLst>
                <a:ext uri="{FF2B5EF4-FFF2-40B4-BE49-F238E27FC236}">
                  <a16:creationId xmlns:a16="http://schemas.microsoft.com/office/drawing/2014/main" id="{02E9FE42-E286-6AE3-3B03-0B53A2595A65}"/>
                </a:ext>
              </a:extLst>
            </xdr:cNvPr>
            <xdr:cNvGraphicFramePr/>
          </xdr:nvGraphicFramePr>
          <xdr:xfrm>
            <a:off x="3812398" y="1236278"/>
            <a:ext cx="4575428" cy="2719210"/>
          </xdr:xfrm>
          <a:graphic>
            <a:graphicData uri="http://schemas.openxmlformats.org/drawingml/2006/chart">
              <c:chart xmlns:c="http://schemas.openxmlformats.org/drawingml/2006/chart" xmlns:r="http://schemas.openxmlformats.org/officeDocument/2006/relationships" r:id="rId5"/>
            </a:graphicData>
          </a:graphic>
        </xdr:graphicFrame>
      </xdr:grpSp>
    </xdr:grpSp>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264907</xdr:colOff>
      <xdr:row>6</xdr:row>
      <xdr:rowOff>152847</xdr:rowOff>
    </xdr:from>
    <xdr:to>
      <xdr:col>17</xdr:col>
      <xdr:colOff>468907</xdr:colOff>
      <xdr:row>28</xdr:row>
      <xdr:rowOff>89487</xdr:rowOff>
    </xdr:to>
    <xdr:grpSp>
      <xdr:nvGrpSpPr>
        <xdr:cNvPr id="4" name="Group 3">
          <a:extLst>
            <a:ext uri="{FF2B5EF4-FFF2-40B4-BE49-F238E27FC236}">
              <a16:creationId xmlns:a16="http://schemas.microsoft.com/office/drawing/2014/main" id="{A6681B0A-B60E-4833-54A1-FA43DAF2D09E}"/>
            </a:ext>
          </a:extLst>
        </xdr:cNvPr>
        <xdr:cNvGrpSpPr/>
      </xdr:nvGrpSpPr>
      <xdr:grpSpPr>
        <a:xfrm>
          <a:off x="6350021" y="1263190"/>
          <a:ext cx="6300000" cy="4007897"/>
          <a:chOff x="6342978" y="1228613"/>
          <a:chExt cx="6311153" cy="3801035"/>
        </a:xfrm>
      </xdr:grpSpPr>
      <xdr:sp macro="" textlink="">
        <xdr:nvSpPr>
          <xdr:cNvPr id="3" name="Rectangle: Rounded Corners 2">
            <a:extLst>
              <a:ext uri="{FF2B5EF4-FFF2-40B4-BE49-F238E27FC236}">
                <a16:creationId xmlns:a16="http://schemas.microsoft.com/office/drawing/2014/main" id="{ECC14459-AAD7-E75E-4041-8858EFAAAD76}"/>
              </a:ext>
            </a:extLst>
          </xdr:cNvPr>
          <xdr:cNvSpPr/>
        </xdr:nvSpPr>
        <xdr:spPr>
          <a:xfrm>
            <a:off x="6342978" y="1228613"/>
            <a:ext cx="6311153" cy="3801035"/>
          </a:xfrm>
          <a:prstGeom prst="roundRect">
            <a:avLst>
              <a:gd name="adj" fmla="val 6525"/>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mc:AlternateContent xmlns:mc="http://schemas.openxmlformats.org/markup-compatibility/2006">
        <mc:Choice xmlns:cx6="http://schemas.microsoft.com/office/drawing/2016/5/12/chartex" Requires="cx6">
          <xdr:graphicFrame macro="">
            <xdr:nvGraphicFramePr>
              <xdr:cNvPr id="2" name="Chart 1">
                <a:extLst>
                  <a:ext uri="{FF2B5EF4-FFF2-40B4-BE49-F238E27FC236}">
                    <a16:creationId xmlns:a16="http://schemas.microsoft.com/office/drawing/2014/main" id="{50A80A13-7202-C8F8-C78B-605E91649B01}"/>
                  </a:ext>
                </a:extLst>
              </xdr:cNvPr>
              <xdr:cNvGraphicFramePr/>
            </xdr:nvGraphicFramePr>
            <xdr:xfrm>
              <a:off x="6351494" y="1229397"/>
              <a:ext cx="6294120" cy="3799466"/>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51494" y="1229397"/>
                <a:ext cx="6294120" cy="3799466"/>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7</xdr:col>
      <xdr:colOff>346687</xdr:colOff>
      <xdr:row>29</xdr:row>
      <xdr:rowOff>13213</xdr:rowOff>
    </xdr:from>
    <xdr:to>
      <xdr:col>17</xdr:col>
      <xdr:colOff>550687</xdr:colOff>
      <xdr:row>50</xdr:row>
      <xdr:rowOff>132733</xdr:rowOff>
    </xdr:to>
    <xdr:grpSp>
      <xdr:nvGrpSpPr>
        <xdr:cNvPr id="7" name="Group 6">
          <a:extLst>
            <a:ext uri="{FF2B5EF4-FFF2-40B4-BE49-F238E27FC236}">
              <a16:creationId xmlns:a16="http://schemas.microsoft.com/office/drawing/2014/main" id="{C5ADEFC8-AE1F-A024-733B-04A9FFB46933}"/>
            </a:ext>
          </a:extLst>
        </xdr:cNvPr>
        <xdr:cNvGrpSpPr/>
      </xdr:nvGrpSpPr>
      <xdr:grpSpPr>
        <a:xfrm>
          <a:off x="6431801" y="5379870"/>
          <a:ext cx="6300000" cy="4005720"/>
          <a:chOff x="6993316" y="5571506"/>
          <a:chExt cx="4591878" cy="2862470"/>
        </a:xfrm>
      </xdr:grpSpPr>
      <xdr:sp macro="" textlink="">
        <xdr:nvSpPr>
          <xdr:cNvPr id="6" name="Rectangle: Rounded Corners 5">
            <a:extLst>
              <a:ext uri="{FF2B5EF4-FFF2-40B4-BE49-F238E27FC236}">
                <a16:creationId xmlns:a16="http://schemas.microsoft.com/office/drawing/2014/main" id="{5E44F4FE-5D81-54BD-75D7-6CA47A4C2DF1}"/>
              </a:ext>
            </a:extLst>
          </xdr:cNvPr>
          <xdr:cNvSpPr/>
        </xdr:nvSpPr>
        <xdr:spPr>
          <a:xfrm>
            <a:off x="6993316" y="5571506"/>
            <a:ext cx="4591878" cy="2862470"/>
          </a:xfrm>
          <a:prstGeom prst="roundRect">
            <a:avLst>
              <a:gd name="adj" fmla="val 6250"/>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5" name="Chart 4">
            <a:extLst>
              <a:ext uri="{FF2B5EF4-FFF2-40B4-BE49-F238E27FC236}">
                <a16:creationId xmlns:a16="http://schemas.microsoft.com/office/drawing/2014/main" id="{7FF2300B-729F-34AE-FA2B-BE0F6619B6A8}"/>
              </a:ext>
            </a:extLst>
          </xdr:cNvPr>
          <xdr:cNvGraphicFramePr/>
        </xdr:nvGraphicFramePr>
        <xdr:xfrm>
          <a:off x="7000694" y="5578776"/>
          <a:ext cx="4577122" cy="284793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105728</xdr:colOff>
      <xdr:row>4</xdr:row>
      <xdr:rowOff>111443</xdr:rowOff>
    </xdr:from>
    <xdr:to>
      <xdr:col>11</xdr:col>
      <xdr:colOff>415291</xdr:colOff>
      <xdr:row>19</xdr:row>
      <xdr:rowOff>116205</xdr:rowOff>
    </xdr:to>
    <xdr:grpSp>
      <xdr:nvGrpSpPr>
        <xdr:cNvPr id="4" name="Group 3">
          <a:extLst>
            <a:ext uri="{FF2B5EF4-FFF2-40B4-BE49-F238E27FC236}">
              <a16:creationId xmlns:a16="http://schemas.microsoft.com/office/drawing/2014/main" id="{5B319234-F27E-FEF0-5EB0-9B87C086E401}"/>
            </a:ext>
          </a:extLst>
        </xdr:cNvPr>
        <xdr:cNvGrpSpPr/>
      </xdr:nvGrpSpPr>
      <xdr:grpSpPr>
        <a:xfrm>
          <a:off x="3020378" y="835343"/>
          <a:ext cx="4576763" cy="2719387"/>
          <a:chOff x="3020378" y="835343"/>
          <a:chExt cx="4576763" cy="2719387"/>
        </a:xfrm>
      </xdr:grpSpPr>
      <xdr:sp macro="" textlink="">
        <xdr:nvSpPr>
          <xdr:cNvPr id="3" name="Rectangle: Rounded Corners 2">
            <a:extLst>
              <a:ext uri="{FF2B5EF4-FFF2-40B4-BE49-F238E27FC236}">
                <a16:creationId xmlns:a16="http://schemas.microsoft.com/office/drawing/2014/main" id="{9C06682E-1220-62AE-86E1-1F178088A9B8}"/>
              </a:ext>
            </a:extLst>
          </xdr:cNvPr>
          <xdr:cNvSpPr/>
        </xdr:nvSpPr>
        <xdr:spPr>
          <a:xfrm>
            <a:off x="3020378" y="835343"/>
            <a:ext cx="4576763" cy="2719387"/>
          </a:xfrm>
          <a:prstGeom prst="roundRect">
            <a:avLst>
              <a:gd name="adj" fmla="val 5634"/>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 name="Chart 1">
            <a:extLst>
              <a:ext uri="{FF2B5EF4-FFF2-40B4-BE49-F238E27FC236}">
                <a16:creationId xmlns:a16="http://schemas.microsoft.com/office/drawing/2014/main" id="{44208722-8EE6-9924-3F4F-657A3ADD8700}"/>
              </a:ext>
            </a:extLst>
          </xdr:cNvPr>
          <xdr:cNvGraphicFramePr/>
        </xdr:nvGraphicFramePr>
        <xdr:xfrm>
          <a:off x="3022759" y="837724"/>
          <a:ext cx="4572000" cy="271462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365760</xdr:colOff>
      <xdr:row>4</xdr:row>
      <xdr:rowOff>121920</xdr:rowOff>
    </xdr:from>
    <xdr:to>
      <xdr:col>7</xdr:col>
      <xdr:colOff>7620</xdr:colOff>
      <xdr:row>10</xdr:row>
      <xdr:rowOff>0</xdr:rowOff>
    </xdr:to>
    <xdr:grpSp>
      <xdr:nvGrpSpPr>
        <xdr:cNvPr id="6" name="Group 5">
          <a:extLst>
            <a:ext uri="{FF2B5EF4-FFF2-40B4-BE49-F238E27FC236}">
              <a16:creationId xmlns:a16="http://schemas.microsoft.com/office/drawing/2014/main" id="{1F5EF1A0-BA0F-80F2-FDF3-2466D339D625}"/>
            </a:ext>
          </a:extLst>
        </xdr:cNvPr>
        <xdr:cNvGrpSpPr/>
      </xdr:nvGrpSpPr>
      <xdr:grpSpPr>
        <a:xfrm>
          <a:off x="1234440" y="853440"/>
          <a:ext cx="3840480" cy="975360"/>
          <a:chOff x="1234440" y="853440"/>
          <a:chExt cx="3840480" cy="975360"/>
        </a:xfrm>
      </xdr:grpSpPr>
      <xdr:sp macro="" textlink="$B$2">
        <xdr:nvSpPr>
          <xdr:cNvPr id="2" name="Rectangle: Rounded Corners 1">
            <a:extLst>
              <a:ext uri="{FF2B5EF4-FFF2-40B4-BE49-F238E27FC236}">
                <a16:creationId xmlns:a16="http://schemas.microsoft.com/office/drawing/2014/main" id="{A840C565-2FDC-9DCE-A9F6-1FB42338B2B0}"/>
              </a:ext>
            </a:extLst>
          </xdr:cNvPr>
          <xdr:cNvSpPr/>
        </xdr:nvSpPr>
        <xdr:spPr>
          <a:xfrm>
            <a:off x="1234440" y="853440"/>
            <a:ext cx="1699260" cy="952500"/>
          </a:xfrm>
          <a:prstGeom prst="roundRect">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65F55DE-E555-4D23-BCEF-7A84F490E506}" type="TxLink">
              <a:rPr lang="en-US" sz="2400" b="1" i="0" u="none" strike="noStrike">
                <a:solidFill>
                  <a:srgbClr val="000000"/>
                </a:solidFill>
                <a:latin typeface="Aptos Narrow"/>
              </a:rPr>
              <a:pPr algn="ctr"/>
              <a:t>4.29</a:t>
            </a:fld>
            <a:endParaRPr lang="en-PH" sz="2400" b="1"/>
          </a:p>
        </xdr:txBody>
      </xdr:sp>
      <xdr:sp macro="" textlink="$B$3">
        <xdr:nvSpPr>
          <xdr:cNvPr id="3" name="Rectangle: Rounded Corners 2">
            <a:extLst>
              <a:ext uri="{FF2B5EF4-FFF2-40B4-BE49-F238E27FC236}">
                <a16:creationId xmlns:a16="http://schemas.microsoft.com/office/drawing/2014/main" id="{6D56B425-8C49-4B86-B924-7884113F2026}"/>
              </a:ext>
            </a:extLst>
          </xdr:cNvPr>
          <xdr:cNvSpPr/>
        </xdr:nvSpPr>
        <xdr:spPr>
          <a:xfrm>
            <a:off x="3375660" y="876300"/>
            <a:ext cx="1699260" cy="952500"/>
          </a:xfrm>
          <a:prstGeom prst="roundRect">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FB8B705-6105-45C7-BB45-FB1FA3C6D8E1}" type="TxLink">
              <a:rPr lang="en-US" sz="2400" b="1" i="0" u="none" strike="noStrike">
                <a:solidFill>
                  <a:srgbClr val="000000"/>
                </a:solidFill>
                <a:latin typeface="Aptos Narrow"/>
              </a:rPr>
              <a:t>2.57</a:t>
            </a:fld>
            <a:endParaRPr lang="en-PH" sz="4800" b="1"/>
          </a:p>
        </xdr:txBody>
      </xdr:sp>
      <xdr:sp macro="" textlink="">
        <xdr:nvSpPr>
          <xdr:cNvPr id="4" name="TextBox 3">
            <a:extLst>
              <a:ext uri="{FF2B5EF4-FFF2-40B4-BE49-F238E27FC236}">
                <a16:creationId xmlns:a16="http://schemas.microsoft.com/office/drawing/2014/main" id="{C0ED6E6D-D4DF-321D-6435-EB43C63685E1}"/>
              </a:ext>
            </a:extLst>
          </xdr:cNvPr>
          <xdr:cNvSpPr txBox="1"/>
        </xdr:nvSpPr>
        <xdr:spPr>
          <a:xfrm>
            <a:off x="1274521" y="853440"/>
            <a:ext cx="161909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PH" sz="1400" b="1"/>
              <a:t>On</a:t>
            </a:r>
            <a:r>
              <a:rPr lang="en-PH" sz="1400" b="1" baseline="0"/>
              <a:t> Time Deliveries:</a:t>
            </a:r>
          </a:p>
          <a:p>
            <a:pPr algn="ctr"/>
            <a:r>
              <a:rPr lang="en-PH" sz="1400" b="1" baseline="0"/>
              <a:t>Avg Review Score</a:t>
            </a:r>
            <a:endParaRPr lang="en-PH" sz="1400" b="1"/>
          </a:p>
        </xdr:txBody>
      </xdr:sp>
      <xdr:sp macro="" textlink="">
        <xdr:nvSpPr>
          <xdr:cNvPr id="5" name="TextBox 4">
            <a:extLst>
              <a:ext uri="{FF2B5EF4-FFF2-40B4-BE49-F238E27FC236}">
                <a16:creationId xmlns:a16="http://schemas.microsoft.com/office/drawing/2014/main" id="{564A97E0-A85E-4C8C-A4D4-F387D89DE758}"/>
              </a:ext>
            </a:extLst>
          </xdr:cNvPr>
          <xdr:cNvSpPr txBox="1"/>
        </xdr:nvSpPr>
        <xdr:spPr>
          <a:xfrm>
            <a:off x="3489480" y="876300"/>
            <a:ext cx="147162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PH" sz="1400" b="1"/>
              <a:t>Late</a:t>
            </a:r>
            <a:r>
              <a:rPr lang="en-PH" sz="1400" b="1" baseline="0"/>
              <a:t> Deliveries:</a:t>
            </a:r>
          </a:p>
          <a:p>
            <a:pPr algn="ctr"/>
            <a:r>
              <a:rPr lang="en-PH" sz="1400" b="1" baseline="0"/>
              <a:t>Avg Review Score</a:t>
            </a:r>
            <a:endParaRPr lang="en-PH" sz="1400" b="1"/>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468630</xdr:colOff>
      <xdr:row>5</xdr:row>
      <xdr:rowOff>94593</xdr:rowOff>
    </xdr:from>
    <xdr:to>
      <xdr:col>13</xdr:col>
      <xdr:colOff>174340</xdr:colOff>
      <xdr:row>20</xdr:row>
      <xdr:rowOff>105103</xdr:rowOff>
    </xdr:to>
    <xdr:grpSp>
      <xdr:nvGrpSpPr>
        <xdr:cNvPr id="4" name="Group 3">
          <a:extLst>
            <a:ext uri="{FF2B5EF4-FFF2-40B4-BE49-F238E27FC236}">
              <a16:creationId xmlns:a16="http://schemas.microsoft.com/office/drawing/2014/main" id="{6636A906-BE7E-2056-4091-04B4E23A90CC}"/>
            </a:ext>
          </a:extLst>
        </xdr:cNvPr>
        <xdr:cNvGrpSpPr/>
      </xdr:nvGrpSpPr>
      <xdr:grpSpPr>
        <a:xfrm>
          <a:off x="5108947" y="1014248"/>
          <a:ext cx="4582510" cy="2769476"/>
          <a:chOff x="5108947" y="1014248"/>
          <a:chExt cx="4582510" cy="2769476"/>
        </a:xfrm>
      </xdr:grpSpPr>
      <xdr:sp macro="" textlink="">
        <xdr:nvSpPr>
          <xdr:cNvPr id="3" name="Rectangle: Rounded Corners 2">
            <a:extLst>
              <a:ext uri="{FF2B5EF4-FFF2-40B4-BE49-F238E27FC236}">
                <a16:creationId xmlns:a16="http://schemas.microsoft.com/office/drawing/2014/main" id="{AF90A4FB-B42C-339B-C518-AC1478C07ED2}"/>
              </a:ext>
            </a:extLst>
          </xdr:cNvPr>
          <xdr:cNvSpPr/>
        </xdr:nvSpPr>
        <xdr:spPr>
          <a:xfrm>
            <a:off x="5108947" y="1014248"/>
            <a:ext cx="4582510" cy="2769476"/>
          </a:xfrm>
          <a:prstGeom prst="roundRect">
            <a:avLst>
              <a:gd name="adj" fmla="val 6800"/>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2" name="Chart 1">
            <a:extLst>
              <a:ext uri="{FF2B5EF4-FFF2-40B4-BE49-F238E27FC236}">
                <a16:creationId xmlns:a16="http://schemas.microsoft.com/office/drawing/2014/main" id="{33DED238-81CB-0F13-BAAA-2797785BF7C6}"/>
              </a:ext>
            </a:extLst>
          </xdr:cNvPr>
          <xdr:cNvGraphicFramePr/>
        </xdr:nvGraphicFramePr>
        <xdr:xfrm>
          <a:off x="5114202" y="1019503"/>
          <a:ext cx="4572000" cy="2758966"/>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124691</xdr:colOff>
      <xdr:row>0</xdr:row>
      <xdr:rowOff>41563</xdr:rowOff>
    </xdr:from>
    <xdr:to>
      <xdr:col>22</xdr:col>
      <xdr:colOff>554183</xdr:colOff>
      <xdr:row>45</xdr:row>
      <xdr:rowOff>96982</xdr:rowOff>
    </xdr:to>
    <xdr:sp macro="" textlink="">
      <xdr:nvSpPr>
        <xdr:cNvPr id="2" name="Rectangle: Rounded Corners 1">
          <a:extLst>
            <a:ext uri="{FF2B5EF4-FFF2-40B4-BE49-F238E27FC236}">
              <a16:creationId xmlns:a16="http://schemas.microsoft.com/office/drawing/2014/main" id="{6D109FB8-133E-468A-A0CA-D12292647002}"/>
            </a:ext>
          </a:extLst>
        </xdr:cNvPr>
        <xdr:cNvSpPr/>
      </xdr:nvSpPr>
      <xdr:spPr>
        <a:xfrm>
          <a:off x="1343891" y="41563"/>
          <a:ext cx="12621492" cy="8160328"/>
        </a:xfrm>
        <a:prstGeom prst="roundRect">
          <a:avLst>
            <a:gd name="adj" fmla="val 339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385797</xdr:colOff>
      <xdr:row>0</xdr:row>
      <xdr:rowOff>167854</xdr:rowOff>
    </xdr:from>
    <xdr:to>
      <xdr:col>22</xdr:col>
      <xdr:colOff>293077</xdr:colOff>
      <xdr:row>4</xdr:row>
      <xdr:rowOff>173851</xdr:rowOff>
    </xdr:to>
    <xdr:sp macro="" textlink="">
      <xdr:nvSpPr>
        <xdr:cNvPr id="3" name="Rectangle: Rounded Corners 2">
          <a:extLst>
            <a:ext uri="{FF2B5EF4-FFF2-40B4-BE49-F238E27FC236}">
              <a16:creationId xmlns:a16="http://schemas.microsoft.com/office/drawing/2014/main" id="{9A1C5B72-11C4-412D-AD17-0F3E73F3035E}"/>
            </a:ext>
          </a:extLst>
        </xdr:cNvPr>
        <xdr:cNvSpPr/>
      </xdr:nvSpPr>
      <xdr:spPr>
        <a:xfrm>
          <a:off x="1604997" y="167854"/>
          <a:ext cx="12099280" cy="726433"/>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2400" b="1"/>
            <a:t>Examining Logistical Efficiency</a:t>
          </a:r>
        </a:p>
        <a:p>
          <a:pPr algn="ctr"/>
          <a:r>
            <a:rPr lang="en-PH" sz="1200" i="1"/>
            <a:t>Delivery Performance, Freight Costs &amp; Geographic Distribution | 2016–2018</a:t>
          </a:r>
          <a:endParaRPr lang="en-PH" sz="1200" b="0" i="1"/>
        </a:p>
      </xdr:txBody>
    </xdr:sp>
    <xdr:clientData/>
  </xdr:twoCellAnchor>
  <xdr:twoCellAnchor>
    <xdr:from>
      <xdr:col>2</xdr:col>
      <xdr:colOff>385797</xdr:colOff>
      <xdr:row>5</xdr:row>
      <xdr:rowOff>180107</xdr:rowOff>
    </xdr:from>
    <xdr:to>
      <xdr:col>22</xdr:col>
      <xdr:colOff>293078</xdr:colOff>
      <xdr:row>44</xdr:row>
      <xdr:rowOff>59351</xdr:rowOff>
    </xdr:to>
    <xdr:grpSp>
      <xdr:nvGrpSpPr>
        <xdr:cNvPr id="31" name="Group 30">
          <a:extLst>
            <a:ext uri="{FF2B5EF4-FFF2-40B4-BE49-F238E27FC236}">
              <a16:creationId xmlns:a16="http://schemas.microsoft.com/office/drawing/2014/main" id="{DBD2B9C8-6341-7082-2980-3340CD494A2F}"/>
            </a:ext>
          </a:extLst>
        </xdr:cNvPr>
        <xdr:cNvGrpSpPr/>
      </xdr:nvGrpSpPr>
      <xdr:grpSpPr>
        <a:xfrm>
          <a:off x="1604997" y="1105393"/>
          <a:ext cx="12099281" cy="7096472"/>
          <a:chOff x="1547446" y="1080652"/>
          <a:chExt cx="12099281" cy="6903499"/>
        </a:xfrm>
      </xdr:grpSpPr>
      <xdr:grpSp>
        <xdr:nvGrpSpPr>
          <xdr:cNvPr id="7" name="Group 6">
            <a:extLst>
              <a:ext uri="{FF2B5EF4-FFF2-40B4-BE49-F238E27FC236}">
                <a16:creationId xmlns:a16="http://schemas.microsoft.com/office/drawing/2014/main" id="{7ECC4774-E85F-4565-83DF-95397A8BEFC3}"/>
              </a:ext>
            </a:extLst>
          </xdr:cNvPr>
          <xdr:cNvGrpSpPr/>
        </xdr:nvGrpSpPr>
        <xdr:grpSpPr>
          <a:xfrm>
            <a:off x="1547446" y="3976254"/>
            <a:ext cx="5652653" cy="4007897"/>
            <a:chOff x="6342978" y="1228613"/>
            <a:chExt cx="6311153" cy="3801035"/>
          </a:xfrm>
        </xdr:grpSpPr>
        <xdr:sp macro="" textlink="">
          <xdr:nvSpPr>
            <xdr:cNvPr id="8" name="Rectangle: Rounded Corners 7">
              <a:extLst>
                <a:ext uri="{FF2B5EF4-FFF2-40B4-BE49-F238E27FC236}">
                  <a16:creationId xmlns:a16="http://schemas.microsoft.com/office/drawing/2014/main" id="{4D374371-8545-C900-222E-D470C764F87E}"/>
                </a:ext>
              </a:extLst>
            </xdr:cNvPr>
            <xdr:cNvSpPr/>
          </xdr:nvSpPr>
          <xdr:spPr>
            <a:xfrm>
              <a:off x="6342978" y="1228613"/>
              <a:ext cx="6311153" cy="3801035"/>
            </a:xfrm>
            <a:prstGeom prst="roundRect">
              <a:avLst>
                <a:gd name="adj" fmla="val 6525"/>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mc:AlternateContent xmlns:mc="http://schemas.openxmlformats.org/markup-compatibility/2006">
          <mc:Choice xmlns:cx6="http://schemas.microsoft.com/office/drawing/2016/5/12/chartex" Requires="cx6">
            <xdr:graphicFrame macro="">
              <xdr:nvGraphicFramePr>
                <xdr:cNvPr id="9" name="Chart 8">
                  <a:extLst>
                    <a:ext uri="{FF2B5EF4-FFF2-40B4-BE49-F238E27FC236}">
                      <a16:creationId xmlns:a16="http://schemas.microsoft.com/office/drawing/2014/main" id="{1E242B93-7E5A-F914-6BD3-5AC7373F02E7}"/>
                    </a:ext>
                  </a:extLst>
                </xdr:cNvPr>
                <xdr:cNvGraphicFramePr/>
              </xdr:nvGraphicFramePr>
              <xdr:xfrm>
                <a:off x="6351494" y="1229398"/>
                <a:ext cx="6294120" cy="3799466"/>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51494" y="1229398"/>
                  <a:ext cx="6294120" cy="3799466"/>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grpSp>
      <xdr:grpSp>
        <xdr:nvGrpSpPr>
          <xdr:cNvPr id="10" name="Group 9">
            <a:extLst>
              <a:ext uri="{FF2B5EF4-FFF2-40B4-BE49-F238E27FC236}">
                <a16:creationId xmlns:a16="http://schemas.microsoft.com/office/drawing/2014/main" id="{4E054986-8459-46F4-9CCC-DAAA964F4CE9}"/>
              </a:ext>
            </a:extLst>
          </xdr:cNvPr>
          <xdr:cNvGrpSpPr/>
        </xdr:nvGrpSpPr>
        <xdr:grpSpPr>
          <a:xfrm>
            <a:off x="7346727" y="3976254"/>
            <a:ext cx="6300000" cy="4005720"/>
            <a:chOff x="6993316" y="5571506"/>
            <a:chExt cx="4591878" cy="2862470"/>
          </a:xfrm>
        </xdr:grpSpPr>
        <xdr:sp macro="" textlink="">
          <xdr:nvSpPr>
            <xdr:cNvPr id="11" name="Rectangle: Rounded Corners 10">
              <a:extLst>
                <a:ext uri="{FF2B5EF4-FFF2-40B4-BE49-F238E27FC236}">
                  <a16:creationId xmlns:a16="http://schemas.microsoft.com/office/drawing/2014/main" id="{08D4C08C-C47D-1EDA-06D2-378DA832DB4A}"/>
                </a:ext>
              </a:extLst>
            </xdr:cNvPr>
            <xdr:cNvSpPr/>
          </xdr:nvSpPr>
          <xdr:spPr>
            <a:xfrm>
              <a:off x="6993316" y="5571506"/>
              <a:ext cx="4591878" cy="2862470"/>
            </a:xfrm>
            <a:prstGeom prst="roundRect">
              <a:avLst>
                <a:gd name="adj" fmla="val 6250"/>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12" name="Chart 11">
              <a:extLst>
                <a:ext uri="{FF2B5EF4-FFF2-40B4-BE49-F238E27FC236}">
                  <a16:creationId xmlns:a16="http://schemas.microsoft.com/office/drawing/2014/main" id="{8CE9FBD9-0057-B1F2-5067-62D0494338B9}"/>
                </a:ext>
              </a:extLst>
            </xdr:cNvPr>
            <xdr:cNvGraphicFramePr/>
          </xdr:nvGraphicFramePr>
          <xdr:xfrm>
            <a:off x="7000694" y="5578776"/>
            <a:ext cx="4577122" cy="2847930"/>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13" name="Group 12">
            <a:extLst>
              <a:ext uri="{FF2B5EF4-FFF2-40B4-BE49-F238E27FC236}">
                <a16:creationId xmlns:a16="http://schemas.microsoft.com/office/drawing/2014/main" id="{6E32D2E3-B7FD-4858-A592-D36554482294}"/>
              </a:ext>
            </a:extLst>
          </xdr:cNvPr>
          <xdr:cNvGrpSpPr/>
        </xdr:nvGrpSpPr>
        <xdr:grpSpPr>
          <a:xfrm>
            <a:off x="4294909" y="1080652"/>
            <a:ext cx="4576763" cy="2700000"/>
            <a:chOff x="3020378" y="835343"/>
            <a:chExt cx="4576763" cy="2719387"/>
          </a:xfrm>
        </xdr:grpSpPr>
        <xdr:sp macro="" textlink="">
          <xdr:nvSpPr>
            <xdr:cNvPr id="14" name="Rectangle: Rounded Corners 13">
              <a:extLst>
                <a:ext uri="{FF2B5EF4-FFF2-40B4-BE49-F238E27FC236}">
                  <a16:creationId xmlns:a16="http://schemas.microsoft.com/office/drawing/2014/main" id="{B9EEBDB4-E38E-6FA1-75FF-92BAD8BB0CA9}"/>
                </a:ext>
              </a:extLst>
            </xdr:cNvPr>
            <xdr:cNvSpPr/>
          </xdr:nvSpPr>
          <xdr:spPr>
            <a:xfrm>
              <a:off x="3020378" y="835343"/>
              <a:ext cx="4576763" cy="2719387"/>
            </a:xfrm>
            <a:prstGeom prst="roundRect">
              <a:avLst>
                <a:gd name="adj" fmla="val 5634"/>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15" name="Chart 14">
              <a:extLst>
                <a:ext uri="{FF2B5EF4-FFF2-40B4-BE49-F238E27FC236}">
                  <a16:creationId xmlns:a16="http://schemas.microsoft.com/office/drawing/2014/main" id="{14A16A97-EA98-2DEF-79AB-BCB1D515536F}"/>
                </a:ext>
              </a:extLst>
            </xdr:cNvPr>
            <xdr:cNvGraphicFramePr/>
          </xdr:nvGraphicFramePr>
          <xdr:xfrm>
            <a:off x="3022759" y="837724"/>
            <a:ext cx="4572000" cy="2714625"/>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6" name="Group 15">
            <a:extLst>
              <a:ext uri="{FF2B5EF4-FFF2-40B4-BE49-F238E27FC236}">
                <a16:creationId xmlns:a16="http://schemas.microsoft.com/office/drawing/2014/main" id="{42449FB2-B05D-4DB8-B008-A656FF051C99}"/>
              </a:ext>
            </a:extLst>
          </xdr:cNvPr>
          <xdr:cNvGrpSpPr/>
        </xdr:nvGrpSpPr>
        <xdr:grpSpPr>
          <a:xfrm>
            <a:off x="9064217" y="1080652"/>
            <a:ext cx="4582510" cy="2700000"/>
            <a:chOff x="5108947" y="1014248"/>
            <a:chExt cx="4582510" cy="2769476"/>
          </a:xfrm>
        </xdr:grpSpPr>
        <xdr:sp macro="" textlink="">
          <xdr:nvSpPr>
            <xdr:cNvPr id="17" name="Rectangle: Rounded Corners 16">
              <a:extLst>
                <a:ext uri="{FF2B5EF4-FFF2-40B4-BE49-F238E27FC236}">
                  <a16:creationId xmlns:a16="http://schemas.microsoft.com/office/drawing/2014/main" id="{4579FCB0-5C26-77F4-5C25-484660818112}"/>
                </a:ext>
              </a:extLst>
            </xdr:cNvPr>
            <xdr:cNvSpPr/>
          </xdr:nvSpPr>
          <xdr:spPr>
            <a:xfrm>
              <a:off x="5108947" y="1014248"/>
              <a:ext cx="4582510" cy="2769476"/>
            </a:xfrm>
            <a:prstGeom prst="roundRect">
              <a:avLst>
                <a:gd name="adj" fmla="val 6800"/>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aphicFrame macro="">
          <xdr:nvGraphicFramePr>
            <xdr:cNvPr id="18" name="Chart 17">
              <a:extLst>
                <a:ext uri="{FF2B5EF4-FFF2-40B4-BE49-F238E27FC236}">
                  <a16:creationId xmlns:a16="http://schemas.microsoft.com/office/drawing/2014/main" id="{F29AA307-8003-1414-369A-C3011DF7B0F7}"/>
                </a:ext>
              </a:extLst>
            </xdr:cNvPr>
            <xdr:cNvGraphicFramePr/>
          </xdr:nvGraphicFramePr>
          <xdr:xfrm>
            <a:off x="5114202" y="1019503"/>
            <a:ext cx="4572000" cy="2758966"/>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30" name="Group 29">
            <a:extLst>
              <a:ext uri="{FF2B5EF4-FFF2-40B4-BE49-F238E27FC236}">
                <a16:creationId xmlns:a16="http://schemas.microsoft.com/office/drawing/2014/main" id="{BC16FE87-02A6-9846-902E-0B1319FDDF83}"/>
              </a:ext>
            </a:extLst>
          </xdr:cNvPr>
          <xdr:cNvGrpSpPr/>
        </xdr:nvGrpSpPr>
        <xdr:grpSpPr>
          <a:xfrm>
            <a:off x="1547446" y="1080652"/>
            <a:ext cx="2520000" cy="2751442"/>
            <a:chOff x="1547446" y="1080652"/>
            <a:chExt cx="2520000" cy="2751442"/>
          </a:xfrm>
        </xdr:grpSpPr>
        <xdr:grpSp>
          <xdr:nvGrpSpPr>
            <xdr:cNvPr id="28" name="Group 27">
              <a:extLst>
                <a:ext uri="{FF2B5EF4-FFF2-40B4-BE49-F238E27FC236}">
                  <a16:creationId xmlns:a16="http://schemas.microsoft.com/office/drawing/2014/main" id="{DA417618-A41E-A20C-41DF-FD19F43E65C0}"/>
                </a:ext>
              </a:extLst>
            </xdr:cNvPr>
            <xdr:cNvGrpSpPr/>
          </xdr:nvGrpSpPr>
          <xdr:grpSpPr>
            <a:xfrm>
              <a:off x="1547446" y="1080652"/>
              <a:ext cx="2520000" cy="1260000"/>
              <a:chOff x="4821382" y="2133599"/>
              <a:chExt cx="1699260" cy="952500"/>
            </a:xfrm>
          </xdr:grpSpPr>
          <xdr:sp macro="" textlink="$B$2">
            <xdr:nvSpPr>
              <xdr:cNvPr id="24" name="Rectangle: Rounded Corners 23">
                <a:extLst>
                  <a:ext uri="{FF2B5EF4-FFF2-40B4-BE49-F238E27FC236}">
                    <a16:creationId xmlns:a16="http://schemas.microsoft.com/office/drawing/2014/main" id="{5E8D5581-FC57-85A2-5B1A-5162B0078A25}"/>
                  </a:ext>
                </a:extLst>
              </xdr:cNvPr>
              <xdr:cNvSpPr/>
            </xdr:nvSpPr>
            <xdr:spPr>
              <a:xfrm>
                <a:off x="4821382" y="2133599"/>
                <a:ext cx="1699260" cy="952500"/>
              </a:xfrm>
              <a:prstGeom prst="roundRect">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65F55DE-E555-4D23-BCEF-7A84F490E506}" type="TxLink">
                  <a:rPr lang="en-US" sz="3600" b="1" i="0" u="none" strike="noStrike">
                    <a:solidFill>
                      <a:srgbClr val="000000"/>
                    </a:solidFill>
                    <a:latin typeface="Aptos Narrow"/>
                  </a:rPr>
                  <a:pPr algn="ctr"/>
                  <a:t>4.29</a:t>
                </a:fld>
                <a:endParaRPr lang="en-PH" sz="3600" b="1"/>
              </a:p>
            </xdr:txBody>
          </xdr:sp>
          <xdr:sp macro="" textlink="">
            <xdr:nvSpPr>
              <xdr:cNvPr id="26" name="TextBox 25">
                <a:extLst>
                  <a:ext uri="{FF2B5EF4-FFF2-40B4-BE49-F238E27FC236}">
                    <a16:creationId xmlns:a16="http://schemas.microsoft.com/office/drawing/2014/main" id="{9FAAF2DF-CDC6-52AC-E1EE-C14AEE85716F}"/>
                  </a:ext>
                </a:extLst>
              </xdr:cNvPr>
              <xdr:cNvSpPr txBox="1"/>
            </xdr:nvSpPr>
            <xdr:spPr>
              <a:xfrm>
                <a:off x="4861463" y="2133599"/>
                <a:ext cx="161909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PH" sz="1800" b="1"/>
                  <a:t>On</a:t>
                </a:r>
                <a:r>
                  <a:rPr lang="en-PH" sz="1800" b="1" baseline="0"/>
                  <a:t> Time Deliveries:</a:t>
                </a:r>
              </a:p>
              <a:p>
                <a:pPr algn="ctr"/>
                <a:r>
                  <a:rPr lang="en-PH" sz="1800" b="1" baseline="0"/>
                  <a:t>Avg Review Score</a:t>
                </a:r>
                <a:endParaRPr lang="en-PH" sz="1800" b="1"/>
              </a:p>
            </xdr:txBody>
          </xdr:sp>
        </xdr:grpSp>
        <xdr:grpSp>
          <xdr:nvGrpSpPr>
            <xdr:cNvPr id="29" name="Group 28">
              <a:extLst>
                <a:ext uri="{FF2B5EF4-FFF2-40B4-BE49-F238E27FC236}">
                  <a16:creationId xmlns:a16="http://schemas.microsoft.com/office/drawing/2014/main" id="{D77C6008-194F-7E3A-2076-0F9E218C2CD1}"/>
                </a:ext>
              </a:extLst>
            </xdr:cNvPr>
            <xdr:cNvGrpSpPr/>
          </xdr:nvGrpSpPr>
          <xdr:grpSpPr>
            <a:xfrm>
              <a:off x="1547446" y="2572094"/>
              <a:ext cx="2520000" cy="1260000"/>
              <a:chOff x="6962602" y="2156459"/>
              <a:chExt cx="1699260" cy="952500"/>
            </a:xfrm>
          </xdr:grpSpPr>
          <xdr:sp macro="" textlink="$B$3">
            <xdr:nvSpPr>
              <xdr:cNvPr id="25" name="Rectangle: Rounded Corners 24">
                <a:extLst>
                  <a:ext uri="{FF2B5EF4-FFF2-40B4-BE49-F238E27FC236}">
                    <a16:creationId xmlns:a16="http://schemas.microsoft.com/office/drawing/2014/main" id="{D9801137-7E32-63B8-5A0D-54F561BA2BE0}"/>
                  </a:ext>
                </a:extLst>
              </xdr:cNvPr>
              <xdr:cNvSpPr/>
            </xdr:nvSpPr>
            <xdr:spPr>
              <a:xfrm>
                <a:off x="6962602" y="2156459"/>
                <a:ext cx="1699260" cy="952500"/>
              </a:xfrm>
              <a:prstGeom prst="roundRect">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FB8B705-6105-45C7-BB45-FB1FA3C6D8E1}" type="TxLink">
                  <a:rPr lang="en-US" sz="3600" b="1" i="0" u="none" strike="noStrike">
                    <a:solidFill>
                      <a:srgbClr val="000000"/>
                    </a:solidFill>
                    <a:latin typeface="Aptos Narrow"/>
                  </a:rPr>
                  <a:t>2.57</a:t>
                </a:fld>
                <a:endParaRPr lang="en-PH" sz="6600" b="1"/>
              </a:p>
            </xdr:txBody>
          </xdr:sp>
          <xdr:sp macro="" textlink="">
            <xdr:nvSpPr>
              <xdr:cNvPr id="27" name="TextBox 26">
                <a:extLst>
                  <a:ext uri="{FF2B5EF4-FFF2-40B4-BE49-F238E27FC236}">
                    <a16:creationId xmlns:a16="http://schemas.microsoft.com/office/drawing/2014/main" id="{C47A1B59-FD33-92DD-54E9-1E762380B4B2}"/>
                  </a:ext>
                </a:extLst>
              </xdr:cNvPr>
              <xdr:cNvSpPr txBox="1"/>
            </xdr:nvSpPr>
            <xdr:spPr>
              <a:xfrm>
                <a:off x="7076422" y="2156459"/>
                <a:ext cx="1471620" cy="529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PH" sz="1800" b="1"/>
                  <a:t>Late</a:t>
                </a:r>
                <a:r>
                  <a:rPr lang="en-PH" sz="1800" b="1" baseline="0"/>
                  <a:t> Deliveries:</a:t>
                </a:r>
              </a:p>
              <a:p>
                <a:pPr algn="ctr"/>
                <a:r>
                  <a:rPr lang="en-PH" sz="1800" b="1" baseline="0"/>
                  <a:t>Avg Review Score</a:t>
                </a:r>
                <a:endParaRPr lang="en-PH" sz="1800" b="1"/>
              </a:p>
            </xdr:txBody>
          </xdr:sp>
        </xdr:grpSp>
      </xdr:grpSp>
    </xdr:grpSp>
    <xdr:clientData/>
  </xdr:twoCellAnchor>
</xdr:wsDr>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411d00d2f2849651279700c10b9631a6&amp;qlt=95" TargetMode="External"/><Relationship Id="rId18" Type="http://schemas.openxmlformats.org/officeDocument/2006/relationships/hyperlink" Target="https://www.bing.com/images/search?form=xlimg&amp;q=Acre%20(state)" TargetMode="External"/><Relationship Id="rId26" Type="http://schemas.openxmlformats.org/officeDocument/2006/relationships/hyperlink" Target="https://www.bing.com/images/search?form=xlimg&amp;q=Rond%c3%b4nia" TargetMode="External"/><Relationship Id="rId39" Type="http://schemas.openxmlformats.org/officeDocument/2006/relationships/hyperlink" Target="https://www.bing.com/th?id=OSK.8ea36cc6787eb2e9c074f039a69f246b&amp;qlt=95" TargetMode="External"/><Relationship Id="rId21" Type="http://schemas.openxmlformats.org/officeDocument/2006/relationships/hyperlink" Target="https://www.bing.com/th?id=OSK.b63f1794212d440aa7aae50ae7187b9b&amp;qlt=95" TargetMode="External"/><Relationship Id="rId34" Type="http://schemas.openxmlformats.org/officeDocument/2006/relationships/hyperlink" Target="https://www.bing.com/images/search?form=xlimg&amp;q=Tocantins" TargetMode="External"/><Relationship Id="rId42" Type="http://schemas.openxmlformats.org/officeDocument/2006/relationships/hyperlink" Target="https://www.bing.com/images/search?form=xlimg&amp;q=Rio%20Grande%20do%20Sul" TargetMode="External"/><Relationship Id="rId47" Type="http://schemas.openxmlformats.org/officeDocument/2006/relationships/hyperlink" Target="https://www.bing.com/th?id=OSK.14910895dabf26c75c08467f23c20f8b&amp;qlt=95" TargetMode="External"/><Relationship Id="rId50" Type="http://schemas.openxmlformats.org/officeDocument/2006/relationships/hyperlink" Target="https://www.bing.com/images/search?form=xlimg&amp;q=Minas%20Gerais" TargetMode="External"/><Relationship Id="rId7" Type="http://schemas.openxmlformats.org/officeDocument/2006/relationships/hyperlink" Target="https://www.bing.com/th?id=OSK.52ea69f8363f8903927f477efd5628cd&amp;qlt=95" TargetMode="External"/><Relationship Id="rId2" Type="http://schemas.openxmlformats.org/officeDocument/2006/relationships/hyperlink" Target="https://www.bing.com/images/search?form=xlimg&amp;q=Roraima" TargetMode="External"/><Relationship Id="rId16" Type="http://schemas.openxmlformats.org/officeDocument/2006/relationships/hyperlink" Target="https://www.bing.com/images/search?form=xlimg&amp;q=Cear%c3%a1" TargetMode="External"/><Relationship Id="rId29" Type="http://schemas.openxmlformats.org/officeDocument/2006/relationships/hyperlink" Target="https://www.bing.com/th?id=OSK.6ee2dc97dcf5617a7f86f5bb7dd685d8&amp;qlt=95" TargetMode="External"/><Relationship Id="rId11" Type="http://schemas.openxmlformats.org/officeDocument/2006/relationships/hyperlink" Target="https://www.bing.com/th?id=OSK.604747d4fd31aabb2929382968f3aaa3&amp;qlt=95" TargetMode="External"/><Relationship Id="rId24" Type="http://schemas.openxmlformats.org/officeDocument/2006/relationships/hyperlink" Target="https://www.bing.com/images/search?form=xlimg&amp;q=Bahia" TargetMode="External"/><Relationship Id="rId32" Type="http://schemas.openxmlformats.org/officeDocument/2006/relationships/hyperlink" Target="https://www.bing.com/images/search?form=xlimg&amp;q=Mato%20Grosso" TargetMode="External"/><Relationship Id="rId37" Type="http://schemas.openxmlformats.org/officeDocument/2006/relationships/hyperlink" Target="https://www.bing.com/th?id=OSK.e724591e547216b76386a00d6e02c5b5&amp;qlt=95" TargetMode="External"/><Relationship Id="rId40" Type="http://schemas.openxmlformats.org/officeDocument/2006/relationships/hyperlink" Target="https://www.bing.com/images/search?form=xlimg&amp;q=Mato%20Grosso%20do%20Sul" TargetMode="External"/><Relationship Id="rId45" Type="http://schemas.openxmlformats.org/officeDocument/2006/relationships/hyperlink" Target="https://www.bing.com/th?id=OSK.51a77ec2c6f313aad22432ca6f12f4ea&amp;qlt=95" TargetMode="External"/><Relationship Id="rId53" Type="http://schemas.openxmlformats.org/officeDocument/2006/relationships/hyperlink" Target="https://www.bing.com/th?id=OSK.fcabde5b1414805f33396c64d3a3bb92&amp;qlt=95" TargetMode="External"/><Relationship Id="rId5" Type="http://schemas.openxmlformats.org/officeDocument/2006/relationships/hyperlink" Target="https://www.bing.com/th?id=OSK.e2ce2e0a671a225c0fc4cfe0b286a1bd&amp;qlt=95" TargetMode="External"/><Relationship Id="rId10" Type="http://schemas.openxmlformats.org/officeDocument/2006/relationships/hyperlink" Target="https://www.bing.com/images/search?form=xlimg&amp;q=Par%c3%a1" TargetMode="External"/><Relationship Id="rId19" Type="http://schemas.openxmlformats.org/officeDocument/2006/relationships/hyperlink" Target="https://www.bing.com/th?id=OSK.e539ab4ceec20fa23e93c5286fe0ebd1&amp;qlt=95" TargetMode="External"/><Relationship Id="rId31" Type="http://schemas.openxmlformats.org/officeDocument/2006/relationships/hyperlink" Target="https://www.bing.com/th?id=OSK.6f0d01e2ab71d100b70213f33e15b6c9&amp;qlt=95" TargetMode="External"/><Relationship Id="rId44" Type="http://schemas.openxmlformats.org/officeDocument/2006/relationships/hyperlink" Target="https://www.bing.com/images/search?form=xlimg&amp;q=Rio%20de%20Janeiro%20(state)" TargetMode="External"/><Relationship Id="rId52" Type="http://schemas.openxmlformats.org/officeDocument/2006/relationships/hyperlink" Target="https://www.bing.com/images/search?form=xlimg&amp;q=Paran%c3%a1%20(state)" TargetMode="External"/><Relationship Id="rId4" Type="http://schemas.openxmlformats.org/officeDocument/2006/relationships/hyperlink" Target="https://www.bing.com/images/search?form=xlimg&amp;q=Amap%c3%a1" TargetMode="External"/><Relationship Id="rId9" Type="http://schemas.openxmlformats.org/officeDocument/2006/relationships/hyperlink" Target="https://www.bing.com/th?id=OSK.a23f75c83085116434b957262c58f864&amp;qlt=95" TargetMode="External"/><Relationship Id="rId14" Type="http://schemas.openxmlformats.org/officeDocument/2006/relationships/hyperlink" Target="https://www.bing.com/images/search?form=xlimg&amp;q=Sergipe" TargetMode="External"/><Relationship Id="rId22" Type="http://schemas.openxmlformats.org/officeDocument/2006/relationships/hyperlink" Target="https://www.bing.com/images/search?form=xlimg&amp;q=Piau%c3%ad" TargetMode="External"/><Relationship Id="rId27" Type="http://schemas.openxmlformats.org/officeDocument/2006/relationships/hyperlink" Target="https://www.bing.com/th?id=OSK.520bba84f6e3d58274dfab9185e94de3&amp;qlt=95" TargetMode="External"/><Relationship Id="rId30" Type="http://schemas.openxmlformats.org/officeDocument/2006/relationships/hyperlink" Target="https://www.bing.com/images/search?form=xlimg&amp;q=Pernambuco" TargetMode="External"/><Relationship Id="rId35" Type="http://schemas.openxmlformats.org/officeDocument/2006/relationships/hyperlink" Target="https://www.bing.com/th?id=OSK.1b4fe5f34de8e431f56cedb55d4d77af&amp;qlt=95" TargetMode="External"/><Relationship Id="rId43" Type="http://schemas.openxmlformats.org/officeDocument/2006/relationships/hyperlink" Target="https://www.bing.com/th?id=OSK.85d2c5ca58fb64dfeb14fa94d1f25fa6&amp;qlt=95" TargetMode="External"/><Relationship Id="rId48" Type="http://schemas.openxmlformats.org/officeDocument/2006/relationships/hyperlink" Target="https://www.bing.com/images/search?form=xlimg&amp;q=Federal%20District%20(Brazil)" TargetMode="External"/><Relationship Id="rId8" Type="http://schemas.openxmlformats.org/officeDocument/2006/relationships/hyperlink" Target="https://www.bing.com/images/search?form=xlimg&amp;q=Alagoas" TargetMode="External"/><Relationship Id="rId51" Type="http://schemas.openxmlformats.org/officeDocument/2006/relationships/hyperlink" Target="https://www.bing.com/th?id=OSK.3072a32ade5ea4dbe28ba3ae4134acb9&amp;qlt=95" TargetMode="External"/><Relationship Id="rId3" Type="http://schemas.openxmlformats.org/officeDocument/2006/relationships/hyperlink" Target="https://www.bing.com/th?id=OSK.23b12b6df356865462a7dc980afe61e4&amp;qlt=95" TargetMode="External"/><Relationship Id="rId12" Type="http://schemas.openxmlformats.org/officeDocument/2006/relationships/hyperlink" Target="https://www.bing.com/images/search?form=xlimg&amp;q=Maranh%c3%a3o" TargetMode="External"/><Relationship Id="rId17" Type="http://schemas.openxmlformats.org/officeDocument/2006/relationships/hyperlink" Target="https://www.bing.com/th?id=OSK.c85efd2720785c49150e7a6153e21667&amp;qlt=95" TargetMode="External"/><Relationship Id="rId25" Type="http://schemas.openxmlformats.org/officeDocument/2006/relationships/hyperlink" Target="https://www.bing.com/th?id=OSK.0dc86b609eb7c0d3a7e6bc20ad6b0aab&amp;qlt=95" TargetMode="External"/><Relationship Id="rId33" Type="http://schemas.openxmlformats.org/officeDocument/2006/relationships/hyperlink" Target="https://www.bing.com/th?id=OSK.fe1781a6873252c43ccb1099c425015c&amp;qlt=95" TargetMode="External"/><Relationship Id="rId38" Type="http://schemas.openxmlformats.org/officeDocument/2006/relationships/hyperlink" Target="https://www.bing.com/images/search?form=xlimg&amp;q=Goi%c3%a1s" TargetMode="External"/><Relationship Id="rId46" Type="http://schemas.openxmlformats.org/officeDocument/2006/relationships/hyperlink" Target="https://www.bing.com/images/search?form=xlimg&amp;q=Santa%20Catarina%20(state)" TargetMode="External"/><Relationship Id="rId20" Type="http://schemas.openxmlformats.org/officeDocument/2006/relationships/hyperlink" Target="https://www.bing.com/images/search?form=xlimg&amp;q=Para%c3%adba" TargetMode="External"/><Relationship Id="rId41" Type="http://schemas.openxmlformats.org/officeDocument/2006/relationships/hyperlink" Target="https://www.bing.com/th?id=OSK.3e449128218c7be0d928ffe41f6b7ab9&amp;qlt=95" TargetMode="External"/><Relationship Id="rId54" Type="http://schemas.openxmlformats.org/officeDocument/2006/relationships/hyperlink" Target="https://www.bing.com/images/search?form=xlimg&amp;q=S%c3%a3o%20Paulo%20(state)" TargetMode="External"/><Relationship Id="rId1" Type="http://schemas.openxmlformats.org/officeDocument/2006/relationships/hyperlink" Target="https://www.bing.com/th?id=OSK.e370c406424ce099b25e24742063fbe9&amp;qlt=95" TargetMode="External"/><Relationship Id="rId6" Type="http://schemas.openxmlformats.org/officeDocument/2006/relationships/hyperlink" Target="https://www.bing.com/images/search?form=xlimg&amp;q=Amazonas%20(Brazilian%20state)" TargetMode="External"/><Relationship Id="rId15" Type="http://schemas.openxmlformats.org/officeDocument/2006/relationships/hyperlink" Target="https://www.bing.com/th?id=OSK.85f8e55cbf9fe2b8da2a637b4fd533c7&amp;qlt=95" TargetMode="External"/><Relationship Id="rId23" Type="http://schemas.openxmlformats.org/officeDocument/2006/relationships/hyperlink" Target="https://www.bing.com/th?id=OSK.4b29e6021abd1fa2cfb2463ecf58a629&amp;qlt=95" TargetMode="External"/><Relationship Id="rId28" Type="http://schemas.openxmlformats.org/officeDocument/2006/relationships/hyperlink" Target="https://www.bing.com/images/search?form=xlimg&amp;q=Rio%20Grande%20do%20Norte" TargetMode="External"/><Relationship Id="rId36" Type="http://schemas.openxmlformats.org/officeDocument/2006/relationships/hyperlink" Target="https://www.bing.com/images/search?form=xlimg&amp;q=Esp%c3%adrito%20Santo" TargetMode="External"/><Relationship Id="rId49" Type="http://schemas.openxmlformats.org/officeDocument/2006/relationships/hyperlink" Target="https://www.bing.com/th?id=OSK.0fe344cb3528734a07a664fe2a76c6ab&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Srd>
</file>

<file path=xl/richData/rdarray.xml><?xml version="1.0" encoding="utf-8"?>
<arrayData xmlns="http://schemas.microsoft.com/office/spreadsheetml/2017/richdata2" count="38">
  <a r="4">
    <v t="r">5</v>
    <v t="r">6</v>
    <v t="r">7</v>
    <v t="r">8</v>
  </a>
  <a r="1">
    <v t="s">America/Boa_Vista</v>
  </a>
  <a r="4">
    <v t="r">18</v>
    <v t="r">19</v>
    <v t="r">20</v>
    <v t="r">21</v>
  </a>
  <a r="1">
    <v t="s">America/Belem</v>
  </a>
  <a r="4">
    <v t="r">31</v>
    <v t="r">32</v>
    <v t="r">33</v>
    <v t="r">34</v>
  </a>
  <a r="2">
    <v t="s">UTC−05:00</v>
    <v t="s">UTC−04:00</v>
  </a>
  <a r="4">
    <v t="r">44</v>
    <v t="r">45</v>
    <v t="r">46</v>
    <v t="r">47</v>
  </a>
  <a r="1">
    <v t="s">UTC−03:00</v>
  </a>
  <a r="4">
    <v t="r">57</v>
    <v t="r">58</v>
    <v t="r">59</v>
    <v t="r">60</v>
  </a>
  <a r="4">
    <v t="r">69</v>
    <v t="r">70</v>
    <v t="r">71</v>
    <v t="r">72</v>
  </a>
  <a r="4">
    <v t="r">81</v>
    <v t="r">82</v>
    <v t="r">83</v>
    <v t="r">84</v>
  </a>
  <a r="4">
    <v t="r">93</v>
    <v t="r">94</v>
    <v t="r">95</v>
    <v t="r">96</v>
  </a>
  <a r="4">
    <v t="r">105</v>
    <v t="r">106</v>
    <v t="r">107</v>
    <v t="r">108</v>
  </a>
  <a r="1">
    <v t="s">UTC−05:00</v>
  </a>
  <a r="4">
    <v t="r">118</v>
    <v t="r">119</v>
    <v t="r">120</v>
    <v t="r">121</v>
  </a>
  <a r="3">
    <v t="r">130</v>
    <v t="r">131</v>
    <v t="r">132</v>
  </a>
  <a r="4">
    <v t="r">141</v>
    <v t="r">142</v>
    <v t="r">143</v>
    <v t="r">144</v>
  </a>
  <a r="1">
    <v t="s">Portuguese language</v>
  </a>
  <a r="1">
    <v t="s">America/Bahia</v>
  </a>
  <a r="4">
    <v t="r">155</v>
    <v t="r">156</v>
    <v t="r">157</v>
    <v t="r">158</v>
  </a>
  <a r="1">
    <v t="s">UTC−04:00</v>
  </a>
  <a r="4">
    <v t="r">168</v>
    <v t="r">169</v>
    <v t="r">170</v>
    <v t="r">171</v>
  </a>
  <a r="4">
    <v t="r">180</v>
    <v t="r">181</v>
    <v t="r">182</v>
    <v t="r">183</v>
  </a>
  <a r="2">
    <v t="s">UTC−03:00</v>
    <v t="s">UTC−02:00</v>
  </a>
  <a r="4">
    <v t="r">193</v>
    <v t="r">194</v>
    <v t="r">195</v>
    <v t="r">196</v>
  </a>
  <a r="4">
    <v t="r">205</v>
    <v t="r">206</v>
    <v t="r">207</v>
    <v t="r">208</v>
  </a>
  <a r="1">
    <v t="s">America/Araguaina</v>
  </a>
  <a r="4">
    <v t="r">219</v>
    <v t="r">220</v>
    <v t="r">221</v>
    <v t="r">222</v>
  </a>
  <a r="4">
    <v t="r">231</v>
    <v t="r">232</v>
    <v t="r">233</v>
    <v t="r">234</v>
  </a>
  <a r="4">
    <v t="r">243</v>
    <v t="r">244</v>
    <v t="r">245</v>
    <v t="r">246</v>
  </a>
  <a r="1">
    <v t="s">America/Campo_Grande</v>
  </a>
  <a r="4">
    <v t="r">256</v>
    <v t="r">257</v>
    <v t="r">258</v>
    <v t="r">259</v>
  </a>
  <a r="4">
    <v t="r">268</v>
    <v t="r">269</v>
    <v t="r">270</v>
    <v t="r">271</v>
  </a>
  <a r="4">
    <v t="r">281</v>
    <v t="r">282</v>
    <v t="r">283</v>
    <v t="r">284</v>
  </a>
  <a r="4">
    <v t="r">293</v>
    <v t="r">294</v>
    <v t="r">295</v>
    <v t="r">296</v>
  </a>
  <a r="4">
    <v t="r">305</v>
    <v t="r">306</v>
    <v t="r">307</v>
    <v t="r">308</v>
  </a>
  <a r="4">
    <v t="r">317</v>
    <v t="r">318</v>
    <v t="r">319</v>
    <v t="r">320</v>
  </a>
  <a r="4">
    <v t="r">329</v>
    <v t="r">330</v>
    <v t="r">331</v>
    <v t="r">332</v>
  </a>
</arrayData>
</file>

<file path=xl/richData/rdrichvalue.xml><?xml version="1.0" encoding="utf-8"?>
<rvData xmlns="http://schemas.microsoft.com/office/spreadsheetml/2017/richdata" count="337">
  <rv s="0">
    <v>536870912</v>
    <v>Roraima</v>
    <v>3b8383a2-7c79-31f6-2359-bd9ba2099213</v>
    <v>en-PH</v>
    <v>Map</v>
  </rv>
  <rv s="1">
    <fb>223644.5</fb>
    <v>9</v>
  </rv>
  <rv s="0">
    <v>536870912</v>
    <v>Boa Vista, Roraima</v>
    <v>148d41af-b8d0-433c-cf93-35bc7eb0acd8</v>
    <v>en-PH</v>
    <v>Map</v>
  </rv>
  <rv s="0">
    <v>536870912</v>
    <v>Brazil</v>
    <v>a828cf41-b938-49fe-7986-4b336618d413</v>
    <v>en-PH</v>
    <v>Map</v>
  </rv>
  <rv s="2">
    <v>0</v>
    <v>7</v>
    <v>0</v>
    <v>7</v>
    <v>0</v>
    <v>Image of Roraima</v>
  </rv>
  <rv s="0">
    <v>805306368</v>
    <v>Antonio Denarium (Governor)</v>
    <v>5d383bf5-f5b8-c571-7823-810ebb2d393e</v>
    <v>en-PH</v>
    <v>Generic</v>
  </rv>
  <rv s="0">
    <v>805306368</v>
    <v>Chico Rodrigues (Senate)</v>
    <v>0835fc08-d294-b272-8e67-b42842021f96</v>
    <v>en-PH</v>
    <v>Generic</v>
  </rv>
  <rv s="0">
    <v>805306368</v>
    <v>Hiran Gonçalves (Senate)</v>
    <v>0bbc28f1-2a99-b7b9-67ae-0de4dbb819e6</v>
    <v>en-PH</v>
    <v>Generic</v>
  </rv>
  <rv s="0">
    <v>805306368</v>
    <v>Mecias de Jesus (Senate)</v>
    <v>6f48b7b9-916f-37ba-53eb-e8c293bef2d5</v>
    <v>en-PH</v>
    <v>Generic</v>
  </rv>
  <rv s="3">
    <v>0</v>
  </rv>
  <rv s="4">
    <v>https://www.bing.com/search?q=roraima+brazil&amp;form=skydnc</v>
    <v>Learn more on Bing</v>
  </rv>
  <rv s="1">
    <fb>636707</fb>
    <v>9</v>
  </rv>
  <rv s="3">
    <v>1</v>
  </rv>
  <rv s="5">
    <v>#VALUE!</v>
    <v>en-PH</v>
    <v>3b8383a2-7c79-31f6-2359-bd9ba2099213</v>
    <v>536870912</v>
    <v>1</v>
    <v>2</v>
    <v>3</v>
    <v>Roraima</v>
    <v>5</v>
    <v>6</v>
    <v>Map</v>
    <v>7</v>
    <v>8</v>
    <v>BR-RR</v>
    <v>1</v>
    <v>2</v>
    <v>3</v>
    <v>Roraima is one of the 26 states of Brazil. Located in the country's North Region, it is the northernmost and most geographically and logistically isolated state in Brazil. It is bordered by the state of Pará to the southeast, Amazonas to the ...</v>
    <v>4</v>
    <v>2</v>
    <v>9</v>
    <v>10</v>
    <v>Roraima</v>
    <v>11</v>
    <v>12</v>
    <v>Roraima</v>
    <v>mdp/vdpid/37694</v>
  </rv>
  <rv s="0">
    <v>536870912</v>
    <v>Amapá</v>
    <v>28d39e09-4b9f-31f6-cc72-48b1f9be59db</v>
    <v>en-PH</v>
    <v>Map</v>
  </rv>
  <rv s="1">
    <fb>142814.6</fb>
    <v>9</v>
  </rv>
  <rv s="0">
    <v>536870912</v>
    <v>Macapá</v>
    <v>6b5232d0-84df-a06c-254b-982c3efb61ad</v>
    <v>en-PH</v>
    <v>Map</v>
  </rv>
  <rv s="2">
    <v>1</v>
    <v>7</v>
    <v>10</v>
    <v>7</v>
    <v>0</v>
    <v>Image of Amapá</v>
  </rv>
  <rv s="0">
    <v>805306368</v>
    <v>Clécio Luís (Governor)</v>
    <v>201b27e6-77cb-38f3-933a-f8b180fc2b1b</v>
    <v>en-PH</v>
    <v>Generic</v>
  </rv>
  <rv s="0">
    <v>805306368</v>
    <v>Davi Alcolumbre (Senate)</v>
    <v>e78b9ccf-2955-ae9a-a6d9-631c543a418b</v>
    <v>en-PH</v>
    <v>Generic</v>
  </rv>
  <rv s="0">
    <v>805306368</v>
    <v>Lucas Barreto (Senate)</v>
    <v>e671f040-72cb-d62c-81d8-b9b037b1b7e0</v>
    <v>en-PH</v>
    <v>Generic</v>
  </rv>
  <rv s="0">
    <v>805306368</v>
    <v>Randolfe Rodrigues (Senate)</v>
    <v>5bbd5941-4490-5352-1744-491e27149ce6</v>
    <v>en-PH</v>
    <v>Generic</v>
  </rv>
  <rv s="3">
    <v>2</v>
  </rv>
  <rv s="4">
    <v>https://www.bing.com/search?q=amap%c3%a1+brazil&amp;form=skydnc</v>
    <v>Learn more on Bing</v>
  </rv>
  <rv s="1">
    <fb>733759</fb>
    <v>9</v>
  </rv>
  <rv s="3">
    <v>3</v>
  </rv>
  <rv s="5">
    <v>#VALUE!</v>
    <v>en-PH</v>
    <v>28d39e09-4b9f-31f6-cc72-48b1f9be59db</v>
    <v>536870912</v>
    <v>1</v>
    <v>12</v>
    <v>3</v>
    <v>Amapá</v>
    <v>5</v>
    <v>6</v>
    <v>Map</v>
    <v>7</v>
    <v>8</v>
    <v>BR-AP</v>
    <v>15</v>
    <v>16</v>
    <v>3</v>
    <v>Amapá is one of the 26 states of Brazil. It is in the North Region of Brazil. It is the second-least populous state and the eighteenth-largest state by area. Located in the far northern part of the country, Amapá is bordered clockwise by French ...</v>
    <v>17</v>
    <v>16</v>
    <v>22</v>
    <v>23</v>
    <v>Amapá</v>
    <v>24</v>
    <v>25</v>
    <v>Amapá</v>
    <v>mdp/vdpid/37690</v>
  </rv>
  <rv s="0">
    <v>536870912</v>
    <v>Amazonas</v>
    <v>f79e57ca-6fc1-5a6a-015b-38d90f33902f</v>
    <v>en-PH</v>
    <v>Map</v>
  </rv>
  <rv s="1">
    <fb>1559167.9</fb>
    <v>9</v>
  </rv>
  <rv s="0">
    <v>536870912</v>
    <v>Manaus</v>
    <v>0e7323bc-9e74-834a-bf82-eb015e395767</v>
    <v>en-PH</v>
    <v>Map</v>
  </rv>
  <rv s="2">
    <v>2</v>
    <v>7</v>
    <v>13</v>
    <v>7</v>
    <v>0</v>
    <v>Image of Amazonas</v>
  </rv>
  <rv s="0">
    <v>805306368</v>
    <v>Wilson Lima (Governor)</v>
    <v>14286097-34f4-fc6f-5543-368f4bba6848</v>
    <v>en-PH</v>
    <v>Generic</v>
  </rv>
  <rv s="0">
    <v>805306368</v>
    <v>Eduardo Braga (Senate)</v>
    <v>d6203150-c9ba-f38e-6494-ba2ede8ba0c2</v>
    <v>en-PH</v>
    <v>Generic</v>
  </rv>
  <rv s="0">
    <v>805306368</v>
    <v>Omar Aziz (Senate)</v>
    <v>6085e286-51ce-0803-143b-827210b249a7</v>
    <v>en-PH</v>
    <v>Generic</v>
  </rv>
  <rv s="0">
    <v>805306368</v>
    <v>Plínio Valério (Senate)</v>
    <v>3fec229a-7eea-c19c-2e65-9ba2e8199765</v>
    <v>en-PH</v>
    <v>Generic</v>
  </rv>
  <rv s="3">
    <v>4</v>
  </rv>
  <rv s="4">
    <v>https://www.bing.com/search?q=amazonas&amp;form=skydnc</v>
    <v>Learn more on Bing</v>
  </rv>
  <rv s="1">
    <fb>3941613</fb>
    <v>9</v>
  </rv>
  <rv s="3">
    <v>5</v>
  </rv>
  <rv s="5">
    <v>#VALUE!</v>
    <v>en-PH</v>
    <v>f79e57ca-6fc1-5a6a-015b-38d90f33902f</v>
    <v>536870912</v>
    <v>1</v>
    <v>15</v>
    <v>3</v>
    <v>Amazonas</v>
    <v>5</v>
    <v>6</v>
    <v>Map</v>
    <v>7</v>
    <v>8</v>
    <v>BR-AM</v>
    <v>28</v>
    <v>29</v>
    <v>3</v>
    <v>Amazonas is a state of Brazil, located in the North Region in the north-western corner of the country. It is the largest Brazilian state by area and the ninth-largest country subdivision in the world with an area of 1,570,745.7 square ...</v>
    <v>30</v>
    <v>29</v>
    <v>35</v>
    <v>36</v>
    <v>Amazonas</v>
    <v>37</v>
    <v>38</v>
    <v>Amazonas</v>
    <v>mdp/vdpid/1419</v>
  </rv>
  <rv s="0">
    <v>536870912</v>
    <v>Alagoas</v>
    <v>4e3f1ba4-1948-0514-728a-55b34ab027b4</v>
    <v>en-PH</v>
    <v>Map</v>
  </rv>
  <rv s="1">
    <fb>27767</fb>
    <v>9</v>
  </rv>
  <rv s="0">
    <v>536870912</v>
    <v>Maceió</v>
    <v>3a74ac5b-60e1-5ea5-109b-bb1168cfbc75</v>
    <v>en-PH</v>
    <v>Map</v>
  </rv>
  <rv s="2">
    <v>3</v>
    <v>7</v>
    <v>16</v>
    <v>7</v>
    <v>0</v>
    <v>Image of Alagoas</v>
  </rv>
  <rv s="0">
    <v>805306368</v>
    <v>Paulo Dantas (Governor)</v>
    <v>5ac2f2bb-9adc-d6d4-be17-680a567b9d39</v>
    <v>en-PH</v>
    <v>Generic</v>
  </rv>
  <rv s="0">
    <v>805306368</v>
    <v>Fernando Farias (Senate)</v>
    <v>0d99297d-4c20-4a52-a466-b8a3b09c5410</v>
    <v>en-PH</v>
    <v>Generic</v>
  </rv>
  <rv s="0">
    <v>805306368</v>
    <v>Renan Calheiros (Senate)</v>
    <v>a4198098-453d-19ab-0775-617c56cfa6a6</v>
    <v>en-PH</v>
    <v>Generic</v>
  </rv>
  <rv s="0">
    <v>805306368</v>
    <v>Rodrigo Cunha (Senate)</v>
    <v>3c858394-4b9b-3365-a939-553c921cd8c7</v>
    <v>en-PH</v>
    <v>Generic</v>
  </rv>
  <rv s="3">
    <v>6</v>
  </rv>
  <rv s="4">
    <v>https://www.bing.com/search?q=alagoas&amp;form=skydnc</v>
    <v>Learn more on Bing</v>
  </rv>
  <rv s="1">
    <fb>3127683</fb>
    <v>9</v>
  </rv>
  <rv s="3">
    <v>7</v>
  </rv>
  <rv s="5">
    <v>#VALUE!</v>
    <v>en-PH</v>
    <v>4e3f1ba4-1948-0514-728a-55b34ab027b4</v>
    <v>536870912</v>
    <v>1</v>
    <v>18</v>
    <v>3</v>
    <v>Alagoas</v>
    <v>5</v>
    <v>6</v>
    <v>Map</v>
    <v>7</v>
    <v>8</v>
    <v>BR-AL</v>
    <v>41</v>
    <v>42</v>
    <v>3</v>
    <v>Alagoas, officially State of Alagoas, is one of the 27 federative units of Brazil and is situated in the eastern part of the Northeast Region. It borders: Pernambuco ; Sergipe (S); Bahia ; and the Atlantic Ocean. Its capital is the city of ...</v>
    <v>43</v>
    <v>42</v>
    <v>48</v>
    <v>49</v>
    <v>Alagoas</v>
    <v>50</v>
    <v>51</v>
    <v>Alagoas</v>
    <v>mdp/vdpid/1008</v>
  </rv>
  <rv s="0">
    <v>536870912</v>
    <v>Pará</v>
    <v>7a0db70a-73db-e83d-e548-6fab7a523b35</v>
    <v>en-PH</v>
    <v>Map</v>
  </rv>
  <rv s="1">
    <fb>1245870.7</fb>
    <v>9</v>
  </rv>
  <rv s="0">
    <v>536870912</v>
    <v>Belém</v>
    <v>19b9814d-03b5-b9a5-2607-ca75413f8674</v>
    <v>en-PH</v>
    <v>Map</v>
  </rv>
  <rv s="2">
    <v>4</v>
    <v>7</v>
    <v>19</v>
    <v>7</v>
    <v>0</v>
    <v>Image of Pará</v>
  </rv>
  <rv s="0">
    <v>805306368</v>
    <v>Helder Barbalho (Governor)</v>
    <v>1323c458-fbb7-4141-9278-070cd6dc5c75</v>
    <v>en-PH</v>
    <v>Generic</v>
  </rv>
  <rv s="0">
    <v>805306368</v>
    <v>Beto Faro (Senate)</v>
    <v>c31dc30a-9d8d-1c81-f14d-443c9be750cf</v>
    <v>en-PH</v>
    <v>Generic</v>
  </rv>
  <rv s="0">
    <v>805306368</v>
    <v>Jader Barbalho (Senate)</v>
    <v>2bfa117e-a6b4-f752-7b72-6ba2cb623999</v>
    <v>en-PH</v>
    <v>Generic</v>
  </rv>
  <rv s="0">
    <v>805306368</v>
    <v>Zequinha Marinho (Senate)</v>
    <v>43b26988-cfa3-2689-ee40-3658db51f11a</v>
    <v>en-PH</v>
    <v>Generic</v>
  </rv>
  <rv s="3">
    <v>8</v>
  </rv>
  <rv s="4">
    <v>https://www.bing.com/search?q=par%c3%a1+brazil&amp;form=skydnc</v>
    <v>Learn more on Bing</v>
  </rv>
  <rv s="1">
    <fb>8120131</fb>
    <v>9</v>
  </rv>
  <rv s="5">
    <v>#VALUE!</v>
    <v>en-PH</v>
    <v>7a0db70a-73db-e83d-e548-6fab7a523b35</v>
    <v>536870912</v>
    <v>1</v>
    <v>21</v>
    <v>3</v>
    <v>Pará</v>
    <v>5</v>
    <v>6</v>
    <v>Map</v>
    <v>7</v>
    <v>8</v>
    <v>BR-PA</v>
    <v>54</v>
    <v>55</v>
    <v>3</v>
    <v>Pará is a state of Brazil, located in northern Brazil and traversed by the lower Amazon River. It borders the Brazilian states of Amapá, Maranhão, Tocantins, Mato Grosso, Amazonas and Roraima. To the northwest are the borders of Guyana and ...</v>
    <v>56</v>
    <v>55</v>
    <v>61</v>
    <v>62</v>
    <v>Pará</v>
    <v>63</v>
    <v>51</v>
    <v>Pará</v>
    <v>mdp/vdpid/25190</v>
  </rv>
  <rv s="0">
    <v>536870912</v>
    <v>Maranhão</v>
    <v>98274980-9da4-ff5e-78a1-e512bb4179ca</v>
    <v>en-PH</v>
    <v>Map</v>
  </rv>
  <rv s="1">
    <fb>331983.2</fb>
    <v>9</v>
  </rv>
  <rv s="0">
    <v>536870912</v>
    <v>São Luís, Maranhão</v>
    <v>0d9a2270-bec5-b9fe-5a63-fd6e2ed304cb</v>
    <v>en-PH</v>
    <v>Map</v>
  </rv>
  <rv s="2">
    <v>5</v>
    <v>7</v>
    <v>22</v>
    <v>7</v>
    <v>0</v>
    <v>Image of Maranhão</v>
  </rv>
  <rv s="0">
    <v>805306368</v>
    <v>Carlos Brandão (Governor)</v>
    <v>d95745eb-2bfd-1802-f363-609f5048226d</v>
    <v>en-PH</v>
    <v>Generic</v>
  </rv>
  <rv s="0">
    <v>805306368</v>
    <v>Ana Paula Lobato (Senate)</v>
    <v>4d74410e-3088-50c2-c69f-1106c89a5e21</v>
    <v>en-PH</v>
    <v>Generic</v>
  </rv>
  <rv s="0">
    <v>805306368</v>
    <v>Eliziane Gama (Senate)</v>
    <v>43fc161e-d37b-83cb-7fac-de2f4b8e54d6</v>
    <v>en-PH</v>
    <v>Generic</v>
  </rv>
  <rv s="0">
    <v>805306368</v>
    <v>Weverton Rocha (Senate)</v>
    <v>8ac31100-7060-4397-8828-e3c967c4a5cd</v>
    <v>en-PH</v>
    <v>Generic</v>
  </rv>
  <rv s="3">
    <v>9</v>
  </rv>
  <rv s="4">
    <v>https://www.bing.com/search?q=maranh%c3%a3o+brazil&amp;form=skydnc</v>
    <v>Learn more on Bing</v>
  </rv>
  <rv s="1">
    <fb>6776699</fb>
    <v>9</v>
  </rv>
  <rv s="5">
    <v>#VALUE!</v>
    <v>en-PH</v>
    <v>98274980-9da4-ff5e-78a1-e512bb4179ca</v>
    <v>536870912</v>
    <v>1</v>
    <v>24</v>
    <v>3</v>
    <v>Maranhão</v>
    <v>5</v>
    <v>6</v>
    <v>Map</v>
    <v>7</v>
    <v>8</v>
    <v>BR-MA</v>
    <v>66</v>
    <v>67</v>
    <v>3</v>
    <v>Maranhão is a state in Brazil. Located in the country's Northeast Region, it has a population of about 7 million and an area of 332,000 km² and it is divided into 217 municipalities. Clockwise from north, it borders on the Atlantic Ocean for ...</v>
    <v>68</v>
    <v>67</v>
    <v>73</v>
    <v>74</v>
    <v>Maranhão</v>
    <v>75</v>
    <v>51</v>
    <v>Maranhão</v>
    <v>mdp/vdpid/20242</v>
  </rv>
  <rv s="0">
    <v>536870912</v>
    <v>Sergipe</v>
    <v>a7f70762-a1ab-d5de-8bf0-3eb8532c1eb9</v>
    <v>en-PH</v>
    <v>Map</v>
  </rv>
  <rv s="1">
    <fb>22050.3</fb>
    <v>9</v>
  </rv>
  <rv s="0">
    <v>536870912</v>
    <v>Aracaju</v>
    <v>0ef2209c-3b6b-3a02-bebd-abc43fdbbec1</v>
    <v>en-PH</v>
    <v>Map</v>
  </rv>
  <rv s="2">
    <v>6</v>
    <v>7</v>
    <v>25</v>
    <v>7</v>
    <v>0</v>
    <v>Image of Sergipe</v>
  </rv>
  <rv s="0">
    <v>805306368</v>
    <v>Fábio Mitidieri (Governor)</v>
    <v>adbd37ec-d6fa-7ceb-9486-5a3b9c2f59ff</v>
    <v>en-PH</v>
    <v>Generic</v>
  </rv>
  <rv s="0">
    <v>805306368</v>
    <v>Alessandro Vieira (Senate)</v>
    <v>57ad9849-687b-919f-9321-c1c3ea502ac3</v>
    <v>en-PH</v>
    <v>Generic</v>
  </rv>
  <rv s="0">
    <v>805306368</v>
    <v>Laercio Oliveira (Senate)</v>
    <v>b920b388-2037-9e86-28ac-1b9bef408d7f</v>
    <v>en-PH</v>
    <v>Generic</v>
  </rv>
  <rv s="0">
    <v>805306368</v>
    <v>Rogério Carvalho Santos (Senate)</v>
    <v>34c48e5c-1bd4-2604-e1f3-a4829e227b7c</v>
    <v>en-PH</v>
    <v>Generic</v>
  </rv>
  <rv s="3">
    <v>10</v>
  </rv>
  <rv s="4">
    <v>https://www.bing.com/search?q=sergipe+brazil&amp;form=skydnc</v>
    <v>Learn more on Bing</v>
  </rv>
  <rv s="1">
    <fb>2210004</fb>
    <v>9</v>
  </rv>
  <rv s="5">
    <v>#VALUE!</v>
    <v>en-PH</v>
    <v>a7f70762-a1ab-d5de-8bf0-3eb8532c1eb9</v>
    <v>536870912</v>
    <v>1</v>
    <v>27</v>
    <v>3</v>
    <v>Sergipe</v>
    <v>5</v>
    <v>6</v>
    <v>Map</v>
    <v>7</v>
    <v>8</v>
    <v>BR-SE</v>
    <v>78</v>
    <v>79</v>
    <v>3</v>
    <v>Sergipe, officially State of Sergipe, is a state of Brazil. Located in the Northeast Region along the Atlantic coast of the country, Sergipe is the smallest state in Brazil by geographical area at 21,910 square kilometres, larger only than the ...</v>
    <v>80</v>
    <v>79</v>
    <v>85</v>
    <v>86</v>
    <v>Sergipe</v>
    <v>87</v>
    <v>51</v>
    <v>Sergipe</v>
    <v>mdp/vdpid/30351</v>
  </rv>
  <rv s="0">
    <v>536870912</v>
    <v>Ceará</v>
    <v>b598e20e-29fb-ccf6-be0e-2650e6ba40c5</v>
    <v>en-PH</v>
    <v>Map</v>
  </rv>
  <rv s="1">
    <fb>146348.29999999999</fb>
    <v>9</v>
  </rv>
  <rv s="0">
    <v>536870912</v>
    <v>Fortaleza</v>
    <v>1e17d357-221f-4eab-3680-b32a5807a0e9</v>
    <v>en-PH</v>
    <v>Map</v>
  </rv>
  <rv s="2">
    <v>7</v>
    <v>7</v>
    <v>28</v>
    <v>7</v>
    <v>0</v>
    <v>Image of Ceará</v>
  </rv>
  <rv s="0">
    <v>805306368</v>
    <v>Elmano de Freitas (Governor)</v>
    <v>645c61e1-cb21-84d2-3ee4-1c03ee1707ce</v>
    <v>en-PH</v>
    <v>Generic</v>
  </rv>
  <rv s="0">
    <v>805306368</v>
    <v>Augusta Brito (Senate)</v>
    <v>fd8ad4ba-c9b4-b3f7-a46b-b1b70bd95b55</v>
    <v>en-PH</v>
    <v>Generic</v>
  </rv>
  <rv s="0">
    <v>805306368</v>
    <v>Cid Gomes (Senate)</v>
    <v>0ffab114-87de-531a-fc50-4f83df115135</v>
    <v>en-PH</v>
    <v>Generic</v>
  </rv>
  <rv s="0">
    <v>805306368</v>
    <v>Eduardo Girão (Senate)</v>
    <v>197b247a-0c33-a794-8460-eafc53165da5</v>
    <v>en-PH</v>
    <v>Generic</v>
  </rv>
  <rv s="3">
    <v>11</v>
  </rv>
  <rv s="4">
    <v>https://www.bing.com/search?q=cear%c3%a1&amp;form=skydnc</v>
    <v>Learn more on Bing</v>
  </rv>
  <rv s="1">
    <fb>8794957</fb>
    <v>9</v>
  </rv>
  <rv s="5">
    <v>#VALUE!</v>
    <v>en-PH</v>
    <v>b598e20e-29fb-ccf6-be0e-2650e6ba40c5</v>
    <v>536870912</v>
    <v>1</v>
    <v>30</v>
    <v>3</v>
    <v>Ceará</v>
    <v>5</v>
    <v>6</v>
    <v>Map</v>
    <v>7</v>
    <v>8</v>
    <v>BR-CE</v>
    <v>90</v>
    <v>91</v>
    <v>3</v>
    <v>Ceará is one of the 26 states of Brazil, located in the northeastern part of the country, on the Atlantic coast. It is the eighth-largest Brazilian State by population and the 17th by area. It is also one of the main tourist destinations in ...</v>
    <v>92</v>
    <v>91</v>
    <v>97</v>
    <v>98</v>
    <v>Ceará</v>
    <v>99</v>
    <v>51</v>
    <v>Ceará</v>
    <v>mdp/vdpid/9363273</v>
  </rv>
  <rv s="0">
    <v>536870912</v>
    <v>Acre</v>
    <v>8960bf27-5261-01d1-4019-e7d898f67bb4</v>
    <v>en-PH</v>
    <v>Map</v>
  </rv>
  <rv s="1">
    <fb>152581</fb>
    <v>9</v>
  </rv>
  <rv s="0">
    <v>536870912</v>
    <v>Rio Branco, Acre</v>
    <v>8cbb31a9-ca81-595f-f9a6-45b5e7726880</v>
    <v>en-PH</v>
    <v>Map</v>
  </rv>
  <rv s="2">
    <v>8</v>
    <v>7</v>
    <v>31</v>
    <v>7</v>
    <v>0</v>
    <v>Image of Acre</v>
  </rv>
  <rv s="0">
    <v>805306368</v>
    <v>Gladson Cameli (Governor)</v>
    <v>df02fd15-fb06-e861-b5e9-773dd3be9123</v>
    <v>en-PH</v>
    <v>Generic</v>
  </rv>
  <rv s="0">
    <v>805306368</v>
    <v>Alan Rick (Senate)</v>
    <v>0c454035-4681-7090-8359-8138be4c758b</v>
    <v>en-PH</v>
    <v>Generic</v>
  </rv>
  <rv s="0">
    <v>805306368</v>
    <v>Márcio Bittar (Senate)</v>
    <v>27763420-65ad-2d37-c5a8-fa4acc40ebbe</v>
    <v>en-PH</v>
    <v>Generic</v>
  </rv>
  <rv s="0">
    <v>805306368</v>
    <v>Sérgio Petecão (Senate)</v>
    <v>70502d94-ae0d-e981-ae25-2eacd99eb6e1</v>
    <v>en-PH</v>
    <v>Generic</v>
  </rv>
  <rv s="3">
    <v>12</v>
  </rv>
  <rv s="4">
    <v>https://www.bing.com/search?q=acre+brazil&amp;form=skydnc</v>
    <v>Learn more on Bing</v>
  </rv>
  <rv s="1">
    <fb>830018</fb>
    <v>9</v>
  </rv>
  <rv s="3">
    <v>13</v>
  </rv>
  <rv s="5">
    <v>#VALUE!</v>
    <v>en-PH</v>
    <v>8960bf27-5261-01d1-4019-e7d898f67bb4</v>
    <v>536870912</v>
    <v>1</v>
    <v>33</v>
    <v>3</v>
    <v>Acre</v>
    <v>5</v>
    <v>6</v>
    <v>Map</v>
    <v>7</v>
    <v>8</v>
    <v>BR-AC</v>
    <v>102</v>
    <v>103</v>
    <v>3</v>
    <v>Acre is a state located in the west of the North Region of Brazil and the Amazonia Legal. Located in the westernmost part of the country, at a two-hour time difference from Brasília, Acre is bordered clockwise by the Brazilian states of Amazonas ...</v>
    <v>104</v>
    <v>103</v>
    <v>109</v>
    <v>110</v>
    <v>Acre</v>
    <v>111</v>
    <v>112</v>
    <v>Acre</v>
    <v>mdp/vdpid/649</v>
  </rv>
  <rv s="0">
    <v>536870912</v>
    <v>Paraíba</v>
    <v>f5be810b-3322-2252-c10f-35206d84b548</v>
    <v>en-PH</v>
    <v>Map</v>
  </rv>
  <rv s="1">
    <fb>56584.6</fb>
    <v>9</v>
  </rv>
  <rv s="0">
    <v>536870912</v>
    <v>João Pessoa, Paraíba</v>
    <v>117afd21-6ef9-4436-b777-f5513479f4b8</v>
    <v>en-PH</v>
    <v>Map</v>
  </rv>
  <rv s="2">
    <v>9</v>
    <v>7</v>
    <v>34</v>
    <v>7</v>
    <v>0</v>
    <v>Image of Paraíba</v>
  </rv>
  <rv s="0">
    <v>805306368</v>
    <v>João Azevêdo (Governor)</v>
    <v>c0995fd6-1875-e2e6-cb26-3898eb0c2a36</v>
    <v>en-PH</v>
    <v>Generic</v>
  </rv>
  <rv s="0">
    <v>805306368</v>
    <v>Daniella Ribeiro (Senate)</v>
    <v>f47c1c1b-cfdd-4b53-d582-f2ec6e3eb49c</v>
    <v>en-PH</v>
    <v>Generic</v>
  </rv>
  <rv s="0">
    <v>805306368</v>
    <v>Efraim Filho (Senate)</v>
    <v>6f0536aa-e36f-c2f8-365d-1a24381cb50e</v>
    <v>en-PH</v>
    <v>Generic</v>
  </rv>
  <rv s="0">
    <v>805306368</v>
    <v>Veneziano Vital do Rêgo (Senate)</v>
    <v>605bfc9e-5b13-3e4d-8c34-b252a4903a05</v>
    <v>en-PH</v>
    <v>Generic</v>
  </rv>
  <rv s="3">
    <v>14</v>
  </rv>
  <rv s="4">
    <v>https://www.bing.com/search?q=para%c3%adba&amp;form=skydnc</v>
    <v>Learn more on Bing</v>
  </rv>
  <rv s="1">
    <fb>3974687</fb>
    <v>9</v>
  </rv>
  <rv s="5">
    <v>#VALUE!</v>
    <v>en-PH</v>
    <v>f5be810b-3322-2252-c10f-35206d84b548</v>
    <v>536870912</v>
    <v>1</v>
    <v>36</v>
    <v>3</v>
    <v>Paraíba</v>
    <v>5</v>
    <v>6</v>
    <v>Map</v>
    <v>7</v>
    <v>8</v>
    <v>BR-PB</v>
    <v>115</v>
    <v>116</v>
    <v>3</v>
    <v>Paraíba is a state of Brazil. It is located in the Brazilian Northeast, and it is bordered by Rio Grande do Norte to the north, Ceará to the west, Pernambuco to the south and the Atlantic Ocean to the east. Paraíba is the third most densely ...</v>
    <v>117</v>
    <v>116</v>
    <v>122</v>
    <v>123</v>
    <v>Paraíba</v>
    <v>124</v>
    <v>51</v>
    <v>Paraíba</v>
    <v>mdp/vdpid/25208</v>
  </rv>
  <rv s="0">
    <v>536870912</v>
    <v>Piauí</v>
    <v>ab11433a-8357-ae6d-67fe-8570cc271399</v>
    <v>en-PH</v>
    <v>Map</v>
  </rv>
  <rv s="1">
    <fb>251755.5</fb>
    <v>9</v>
  </rv>
  <rv s="0">
    <v>536870912</v>
    <v>Teresina</v>
    <v>56cf9d17-8e80-24c2-087b-559ee99aa747</v>
    <v>en-PH</v>
    <v>Map</v>
  </rv>
  <rv s="2">
    <v>10</v>
    <v>7</v>
    <v>37</v>
    <v>7</v>
    <v>0</v>
    <v>Image of Piauí</v>
  </rv>
  <rv s="0">
    <v>805306368</v>
    <v>Rafael Fonteles (Governor)</v>
    <v>dd67019c-3d69-e81b-e91c-6eba69b48802</v>
    <v>en-PH</v>
    <v>Generic</v>
  </rv>
  <rv s="0">
    <v>805306368</v>
    <v>Ciro Nogueira Lima Filho (Senate)</v>
    <v>17d88c14-32b5-48ec-2cdb-126afb881955</v>
    <v>en-PH</v>
    <v>Generic</v>
  </rv>
  <rv s="0">
    <v>805306368</v>
    <v>Marcelo Castro (Senate)</v>
    <v>5931e16c-a68b-3221-61c5-85296c5d4d15</v>
    <v>en-PH</v>
    <v>Generic</v>
  </rv>
  <rv s="3">
    <v>15</v>
  </rv>
  <rv s="4">
    <v>https://www.bing.com/search?q=piau%c3%ad&amp;form=skydnc</v>
    <v>Learn more on Bing</v>
  </rv>
  <rv s="1">
    <fb>3271199</fb>
    <v>9</v>
  </rv>
  <rv s="5">
    <v>#VALUE!</v>
    <v>en-PH</v>
    <v>ab11433a-8357-ae6d-67fe-8570cc271399</v>
    <v>536870912</v>
    <v>1</v>
    <v>39</v>
    <v>3</v>
    <v>Piauí</v>
    <v>5</v>
    <v>6</v>
    <v>Map</v>
    <v>7</v>
    <v>8</v>
    <v>BR-PI</v>
    <v>127</v>
    <v>128</v>
    <v>3</v>
    <v>Piauí is one of the states of Brazil, located in the country's Northeast Region. The state has 1.6% of the Brazilian population and produces 0.7% of the Brazilian GDP. Piauí has the shortest coastline of any coastal Brazilian state at 66 km, and ...</v>
    <v>129</v>
    <v>128</v>
    <v>133</v>
    <v>134</v>
    <v>Piauí</v>
    <v>135</v>
    <v>51</v>
    <v>Piauí</v>
    <v>mdp/vdpid/37693</v>
  </rv>
  <rv s="0">
    <v>536870912</v>
    <v>Bahia</v>
    <v>e904684f-6d5b-f7bb-c27d-bdb50a0ec8ab</v>
    <v>en-PH</v>
    <v>Map</v>
  </rv>
  <rv s="1">
    <fb>564692</fb>
    <v>9</v>
  </rv>
  <rv s="0">
    <v>536870912</v>
    <v>Salvador, Bahia</v>
    <v>c5ab7830-9611-6d00-5607-a97cd3cb3985</v>
    <v>en-PH</v>
    <v>Map</v>
  </rv>
  <rv s="2">
    <v>11</v>
    <v>7</v>
    <v>40</v>
    <v>7</v>
    <v>0</v>
    <v>Image of Bahia</v>
  </rv>
  <rv s="0">
    <v>805306368</v>
    <v>Jerônimo Rodrigues (Governor)</v>
    <v>79d5056c-d2fa-a9d9-280c-b7aa795fd026</v>
    <v>en-PH</v>
    <v>Generic</v>
  </rv>
  <rv s="0">
    <v>805306368</v>
    <v>Angelo Coronel (Senate)</v>
    <v>1097f514-af5a-1f24-198a-af5176527546</v>
    <v>en-PH</v>
    <v>Generic</v>
  </rv>
  <rv s="0">
    <v>805306368</v>
    <v>Jaques Wagner (Senate)</v>
    <v>1e9c0a1c-badb-9ecc-0da6-e2e3ca5800e7</v>
    <v>en-PH</v>
    <v>Generic</v>
  </rv>
  <rv s="0">
    <v>805306368</v>
    <v>Otto Alencar (Senate)</v>
    <v>b4b15b58-bae3-090f-f331-32e239afe215</v>
    <v>en-PH</v>
    <v>Generic</v>
  </rv>
  <rv s="3">
    <v>16</v>
  </rv>
  <rv s="4">
    <v>https://www.bing.com/search?q=bahia&amp;form=skydnc</v>
    <v>Learn more on Bing</v>
  </rv>
  <rv s="3">
    <v>17</v>
  </rv>
  <rv s="1">
    <fb>14141626</fb>
    <v>9</v>
  </rv>
  <rv s="3">
    <v>18</v>
  </rv>
  <rv s="6">
    <v>#VALUE!</v>
    <v>en-PH</v>
    <v>e904684f-6d5b-f7bb-c27d-bdb50a0ec8ab</v>
    <v>536870912</v>
    <v>1</v>
    <v>42</v>
    <v>43</v>
    <v>Bahia</v>
    <v>5</v>
    <v>6</v>
    <v>Map</v>
    <v>7</v>
    <v>8</v>
    <v>BR-BA</v>
    <v>138</v>
    <v>139</v>
    <v>3</v>
    <v>Bahia is one of the 26 states of Brazil, located in the Northeast Region of the country. It is the fourth-largest Brazilian state by population and the 5th-largest by area. Bahia's capital is the city of Salvador, on a spit of land separating ...</v>
    <v>140</v>
    <v>139</v>
    <v>145</v>
    <v>146</v>
    <v>Bahia</v>
    <v>147</v>
    <v>148</v>
    <v>149</v>
    <v>Bahia</v>
    <v>mdp/vdpid/2593</v>
  </rv>
  <rv s="0">
    <v>536870912</v>
    <v>Rondônia</v>
    <v>25fbe5d5-9bc1-0ec2-ac78-2d9fe5b147dd</v>
    <v>en-PH</v>
    <v>Map</v>
  </rv>
  <rv s="1">
    <fb>237765.3</fb>
    <v>9</v>
  </rv>
  <rv s="0">
    <v>536870912</v>
    <v>Porto Velho</v>
    <v>56bc729e-1fb1-bc28-7c3e-9b068ab999b0</v>
    <v>en-PH</v>
    <v>Map</v>
  </rv>
  <rv s="2">
    <v>12</v>
    <v>7</v>
    <v>44</v>
    <v>7</v>
    <v>0</v>
    <v>Image of Rondônia</v>
  </rv>
  <rv s="0">
    <v>805306368</v>
    <v>Marcos Rocha (Governor)</v>
    <v>8f5da361-056e-c381-1a21-8e8b86b28f7c</v>
    <v>en-PH</v>
    <v>Generic</v>
  </rv>
  <rv s="0">
    <v>805306368</v>
    <v>Confúcio Moura (Senate)</v>
    <v>9319cb74-13fc-4eb1-af85-c25791374247</v>
    <v>en-PH</v>
    <v>Generic</v>
  </rv>
  <rv s="0">
    <v>805306368</v>
    <v>Jaime Bagattoli (Senate)</v>
    <v>f6f235b7-6b73-59eb-2cf8-eefa4ae4e5db</v>
    <v>en-PH</v>
    <v>Generic</v>
  </rv>
  <rv s="0">
    <v>805306368</v>
    <v>Marcos Rogério (Senate)</v>
    <v>70930dff-0eb8-0e95-fae7-bb00634ee0dc</v>
    <v>en-PH</v>
    <v>Generic</v>
  </rv>
  <rv s="3">
    <v>19</v>
  </rv>
  <rv s="4">
    <v>https://www.bing.com/search?q=rond%c3%b4nia&amp;form=skydnc</v>
    <v>Learn more on Bing</v>
  </rv>
  <rv s="1">
    <fb>1581196</fb>
    <v>9</v>
  </rv>
  <rv s="3">
    <v>20</v>
  </rv>
  <rv s="5">
    <v>#VALUE!</v>
    <v>en-PH</v>
    <v>25fbe5d5-9bc1-0ec2-ac78-2d9fe5b147dd</v>
    <v>536870912</v>
    <v>1</v>
    <v>46</v>
    <v>3</v>
    <v>Rondônia</v>
    <v>5</v>
    <v>6</v>
    <v>Map</v>
    <v>7</v>
    <v>8</v>
    <v>BR-RO</v>
    <v>152</v>
    <v>153</v>
    <v>3</v>
    <v>Rondônia is one of the 26 states of Brazil, located in the northern subdivision of the country. It is bordered by Acre in the west, Amazonas in the north, Mato Grosso in the east, and Bolivia in the south. Rondônia has a population of 1,815,000 ...</v>
    <v>154</v>
    <v>153</v>
    <v>159</v>
    <v>160</v>
    <v>Rondônia</v>
    <v>161</v>
    <v>162</v>
    <v>Rondônia</v>
    <v>mdp/vdpid/9332975</v>
  </rv>
  <rv s="0">
    <v>536870912</v>
    <v>Rio Grande do Norte</v>
    <v>4cccb40d-d26b-4493-e031-bcf803f1c2b1</v>
    <v>en-PH</v>
    <v>Map</v>
  </rv>
  <rv s="1">
    <fb>53306.8</fb>
    <v>9</v>
  </rv>
  <rv s="0">
    <v>536870912</v>
    <v>Natal, Rio Grande do Norte</v>
    <v>5992c2da-8bdc-e041-7f9e-b0a49767ea93</v>
    <v>en-PH</v>
    <v>Map</v>
  </rv>
  <rv s="2">
    <v>13</v>
    <v>7</v>
    <v>47</v>
    <v>7</v>
    <v>0</v>
    <v>Image of Rio Grande do Norte</v>
  </rv>
  <rv s="0">
    <v>805306368</v>
    <v>Fátima Bezerra (Governor)</v>
    <v>4e267756-ec2f-df6a-9c6c-0b7b6d525f13</v>
    <v>en-PH</v>
    <v>Generic</v>
  </rv>
  <rv s="0">
    <v>805306368</v>
    <v>Rogério Simonetti Marinho (Senate)</v>
    <v>1f228cef-d131-271c-2982-4c99ad47d064</v>
    <v>en-PH</v>
    <v>Generic</v>
  </rv>
  <rv s="0">
    <v>805306368</v>
    <v>Styvenson Valentim (Senate)</v>
    <v>abc1a2cb-1d11-929e-94d4-3f56f1e0ff79</v>
    <v>en-PH</v>
    <v>Generic</v>
  </rv>
  <rv s="0">
    <v>805306368</v>
    <v>Zenaide Maia (Senate)</v>
    <v>eaa16a88-c471-e9e6-3b72-b047674af1a4</v>
    <v>en-PH</v>
    <v>Generic</v>
  </rv>
  <rv s="3">
    <v>21</v>
  </rv>
  <rv s="4">
    <v>https://www.bing.com/search?q=rio+grande+do+norte+brazil&amp;form=skydnc</v>
    <v>Learn more on Bing</v>
  </rv>
  <rv s="1">
    <fb>3302729</fb>
    <v>9</v>
  </rv>
  <rv s="5">
    <v>#VALUE!</v>
    <v>en-PH</v>
    <v>4cccb40d-d26b-4493-e031-bcf803f1c2b1</v>
    <v>536870912</v>
    <v>1</v>
    <v>49</v>
    <v>3</v>
    <v>Rio Grande do Norte</v>
    <v>5</v>
    <v>6</v>
    <v>Map</v>
    <v>7</v>
    <v>8</v>
    <v>BR-RN</v>
    <v>165</v>
    <v>166</v>
    <v>3</v>
    <v>Rio Grande do Norte is one of the states of Brazil. It is located in the northeastern region of the country, forming the northeasternmost tip of the South American continent. The name literally translates as "Great Northern River", referring to ...</v>
    <v>167</v>
    <v>166</v>
    <v>172</v>
    <v>173</v>
    <v>Rio Grande do Norte</v>
    <v>174</v>
    <v>51</v>
    <v>Rio Grande do Norte</v>
    <v>mdp/vdpid/27824</v>
  </rv>
  <rv s="0">
    <v>536870912</v>
    <v>Pernambuco</v>
    <v>5538aab1-15ae-294f-2c10-f5083201cca1</v>
    <v>en-PH</v>
    <v>Map</v>
  </rv>
  <rv s="1">
    <fb>98937.8</fb>
    <v>9</v>
  </rv>
  <rv s="0">
    <v>536870912</v>
    <v>Recife</v>
    <v>56717c0d-ccb4-6a32-53ba-4a80ef2afa79</v>
    <v>en-PH</v>
    <v>Map</v>
  </rv>
  <rv s="2">
    <v>14</v>
    <v>7</v>
    <v>50</v>
    <v>7</v>
    <v>0</v>
    <v>Image of Pernambuco</v>
  </rv>
  <rv s="0">
    <v>805306368</v>
    <v>Raquel Lyra (Governor)</v>
    <v>296e2801-863f-736a-c819-215a140cdf8e</v>
    <v>en-PH</v>
    <v>Generic</v>
  </rv>
  <rv s="0">
    <v>805306368</v>
    <v>Humberto Costa (Senate)</v>
    <v>b65d20e4-ebbe-645a-a13e-483b0f0511e4</v>
    <v>en-PH</v>
    <v>Generic</v>
  </rv>
  <rv s="0">
    <v>805306368</v>
    <v>Jarbas Vasconcelos (Senate)</v>
    <v>4dc3fb0b-1b50-2570-b6fb-5124915cd160</v>
    <v>en-PH</v>
    <v>Generic</v>
  </rv>
  <rv s="0">
    <v>805306368</v>
    <v>Teresa Leitão (Senate)</v>
    <v>505dd793-3881-7016-a9f6-8c55047902f2</v>
    <v>en-PH</v>
    <v>Generic</v>
  </rv>
  <rv s="3">
    <v>22</v>
  </rv>
  <rv s="4">
    <v>https://www.bing.com/search?q=pernambuco&amp;form=skydnc</v>
    <v>Learn more on Bing</v>
  </rv>
  <rv s="1">
    <fb>9539029</fb>
    <v>9</v>
  </rv>
  <rv s="3">
    <v>23</v>
  </rv>
  <rv s="5">
    <v>#VALUE!</v>
    <v>en-PH</v>
    <v>5538aab1-15ae-294f-2c10-f5083201cca1</v>
    <v>536870912</v>
    <v>1</v>
    <v>52</v>
    <v>3</v>
    <v>Pernambuco</v>
    <v>5</v>
    <v>6</v>
    <v>Map</v>
    <v>7</v>
    <v>53</v>
    <v>BR-PE</v>
    <v>177</v>
    <v>178</v>
    <v>3</v>
    <v>Pernambuco is a state of Brazil located in the Northeast region of the country. With an estimated population of 9.5 million people as of 2024, it is the seventh-most populous state of Brazil and with around 98,067.877 km², it is the 19th-largest ...</v>
    <v>179</v>
    <v>178</v>
    <v>184</v>
    <v>185</v>
    <v>Pernambuco</v>
    <v>186</v>
    <v>187</v>
    <v>Pernambuco</v>
    <v>mdp/vdpid/25687</v>
  </rv>
  <rv s="0">
    <v>536870912</v>
    <v>Mato Grosso</v>
    <v>af05c757-4d77-813e-b8eb-97635c07f37a</v>
    <v>en-PH</v>
    <v>Map</v>
  </rv>
  <rv s="1">
    <fb>903357</fb>
    <v>9</v>
  </rv>
  <rv s="0">
    <v>536870912</v>
    <v>Cuiabá</v>
    <v>40ab2387-3bef-ed49-417a-241a85867199</v>
    <v>en-PH</v>
    <v>Map</v>
  </rv>
  <rv s="2">
    <v>15</v>
    <v>7</v>
    <v>54</v>
    <v>7</v>
    <v>0</v>
    <v>Image of Mato Grosso</v>
  </rv>
  <rv s="0">
    <v>805306368</v>
    <v>Mauro Mendes (Governor)</v>
    <v>89fde148-6595-30ce-b8c6-035fd8e99daf</v>
    <v>en-PH</v>
    <v>Generic</v>
  </rv>
  <rv s="0">
    <v>805306368</v>
    <v>Jayme Campos (Senate)</v>
    <v>755b92d0-8265-1d67-7309-1b320282967b</v>
    <v>en-PH</v>
    <v>Generic</v>
  </rv>
  <rv s="0">
    <v>805306368</v>
    <v>Margareth Buzetti (Senate)</v>
    <v>9be708b7-9984-cf61-6b99-4c876acd6c65</v>
    <v>en-PH</v>
    <v>Generic</v>
  </rv>
  <rv s="0">
    <v>805306368</v>
    <v>Wellington Fagundes (Senate)</v>
    <v>e24fb836-62a7-5d20-9f5b-01f33f1c6386</v>
    <v>en-PH</v>
    <v>Generic</v>
  </rv>
  <rv s="3">
    <v>24</v>
  </rv>
  <rv s="4">
    <v>https://www.bing.com/search?q=mato+grosso&amp;form=skydnc</v>
    <v>Learn more on Bing</v>
  </rv>
  <rv s="1">
    <fb>3658649</fb>
    <v>9</v>
  </rv>
  <rv s="5">
    <v>#VALUE!</v>
    <v>en-PH</v>
    <v>af05c757-4d77-813e-b8eb-97635c07f37a</v>
    <v>536870912</v>
    <v>1</v>
    <v>56</v>
    <v>3</v>
    <v>Mato Grosso</v>
    <v>5</v>
    <v>6</v>
    <v>Map</v>
    <v>7</v>
    <v>8</v>
    <v>BR-MT</v>
    <v>190</v>
    <v>191</v>
    <v>3</v>
    <v>Mato Grosso is one of the states of Brazil, the third largest by area, located in the Central-West region. The state has 1.66% of the Brazilian population and is responsible for 1.9% of the Brazilian GDP.</v>
    <v>192</v>
    <v>191</v>
    <v>197</v>
    <v>198</v>
    <v>Mato Grosso</v>
    <v>199</v>
    <v>162</v>
    <v>Mato Grosso</v>
    <v>mdp/vdpid/20600</v>
  </rv>
  <rv s="0">
    <v>536870912</v>
    <v>Tocantins</v>
    <v>f7a46dfe-e192-d6f7-e5f8-084e555ba7cb</v>
    <v>en-PH</v>
    <v>Map</v>
  </rv>
  <rv s="1">
    <fb>278420.7</fb>
    <v>9</v>
  </rv>
  <rv s="0">
    <v>536870912</v>
    <v>Palmas, Tocantins</v>
    <v>983ef397-ecb9-e541-6d0a-abd6a475708b</v>
    <v>en-PH</v>
    <v>Map</v>
  </rv>
  <rv s="2">
    <v>16</v>
    <v>7</v>
    <v>57</v>
    <v>7</v>
    <v>0</v>
    <v>Image of Tocantins</v>
  </rv>
  <rv s="0">
    <v>805306368</v>
    <v>Wanderlei Barbosa (Governor)</v>
    <v>c85061ac-d4dc-9c50-4586-4f23d23e2950</v>
    <v>en-PH</v>
    <v>Generic</v>
  </rv>
  <rv s="0">
    <v>805306368</v>
    <v>Eduardo Gomes (Senate)</v>
    <v>c6cc0042-f126-9b6a-5b03-32f7bb632beb</v>
    <v>en-PH</v>
    <v>Generic</v>
  </rv>
  <rv s="0">
    <v>805306368</v>
    <v>Irajá Abreu (Senate)</v>
    <v>64bb50f1-469e-9e52-d123-c2bf0e9000b9</v>
    <v>en-PH</v>
    <v>Generic</v>
  </rv>
  <rv s="0">
    <v>805306368</v>
    <v>Dorinha Rezende (Senate)</v>
    <v>ff5695ea-61ec-ef72-d7af-3e7a17e84458</v>
    <v>en-PH</v>
    <v>Generic</v>
  </rv>
  <rv s="3">
    <v>25</v>
  </rv>
  <rv s="4">
    <v>https://www.bing.com/search?q=tocantins+brazil&amp;form=skydnc</v>
    <v>Learn more on Bing</v>
  </rv>
  <rv s="1">
    <fb>1511460</fb>
    <v>9</v>
  </rv>
  <rv s="3">
    <v>26</v>
  </rv>
  <rv s="5">
    <v>#VALUE!</v>
    <v>en-PH</v>
    <v>f7a46dfe-e192-d6f7-e5f8-084e555ba7cb</v>
    <v>536870912</v>
    <v>1</v>
    <v>59</v>
    <v>3</v>
    <v>Tocantins</v>
    <v>5</v>
    <v>6</v>
    <v>Map</v>
    <v>7</v>
    <v>8</v>
    <v>BR-TO</v>
    <v>202</v>
    <v>203</v>
    <v>3</v>
    <v>Tocantins is one of the 26 states of Brazil. It is the newest state, formed in 1988 and encompassing what had formerly been the northern two-fifths of the state of Goiás. Tocantins covers 277,620.91 square kilometres and had an estimated ...</v>
    <v>204</v>
    <v>203</v>
    <v>209</v>
    <v>210</v>
    <v>Tocantins</v>
    <v>211</v>
    <v>212</v>
    <v>Tocantins</v>
    <v>mdp/vdpid/33535</v>
  </rv>
  <rv s="0">
    <v>536870912</v>
    <v>Espírito Santo</v>
    <v>dbc4d679-53e7-49d7-c6b3-88a4ca7f522f</v>
    <v>en-PH</v>
    <v>Map</v>
  </rv>
  <rv s="1">
    <fb>46077.5</fb>
    <v>9</v>
  </rv>
  <rv s="0">
    <v>536870912</v>
    <v>Vitória, Espírito Santo</v>
    <v>295a805d-1fbe-cc31-527c-d2ed40f0571f</v>
    <v>en-PH</v>
    <v>Map</v>
  </rv>
  <rv s="2">
    <v>17</v>
    <v>7</v>
    <v>60</v>
    <v>7</v>
    <v>0</v>
    <v>Image of Espírito Santo</v>
  </rv>
  <rv s="0">
    <v>536870912</v>
    <v>Serra, Espírito Santo</v>
    <v>dad55fac-b259-da6a-371b-91fe6ec16ea6</v>
    <v>en-PH</v>
    <v>Map</v>
  </rv>
  <rv s="0">
    <v>805306368</v>
    <v>Renato Casagrande (Governor)</v>
    <v>fcec7bca-c46e-5b42-ca39-1149e829eb02</v>
    <v>en-PH</v>
    <v>Generic</v>
  </rv>
  <rv s="0">
    <v>805306368</v>
    <v>Fabiano Contarato (Senate)</v>
    <v>dce26817-e9d9-c246-91c7-b5d3b5096379</v>
    <v>en-PH</v>
    <v>Generic</v>
  </rv>
  <rv s="0">
    <v>805306368</v>
    <v>Magno Malta (Senate)</v>
    <v>25831451-6827-f97b-02a9-f79bdc04f724</v>
    <v>en-PH</v>
    <v>Generic</v>
  </rv>
  <rv s="0">
    <v>805306368</v>
    <v>Marcos do Val (Senate)</v>
    <v>a2d36ba9-0113-ad15-8a4c-c7c039d62651</v>
    <v>en-PH</v>
    <v>Generic</v>
  </rv>
  <rv s="3">
    <v>27</v>
  </rv>
  <rv s="4">
    <v>https://www.bing.com/search?q=esp%c3%adrito+santo+brazil&amp;form=skydnc</v>
    <v>Learn more on Bing</v>
  </rv>
  <rv s="1">
    <fb>4102129</fb>
    <v>9</v>
  </rv>
  <rv s="5">
    <v>#VALUE!</v>
    <v>en-PH</v>
    <v>dbc4d679-53e7-49d7-c6b3-88a4ca7f522f</v>
    <v>536870912</v>
    <v>1</v>
    <v>62</v>
    <v>3</v>
    <v>Espírito Santo</v>
    <v>5</v>
    <v>6</v>
    <v>Map</v>
    <v>7</v>
    <v>53</v>
    <v>BR-ES</v>
    <v>215</v>
    <v>216</v>
    <v>3</v>
    <v>Espírito Santo is a state in southeastern Brazil. Its capital is Vitória, and its largest city is Serra. With an extensive coastline, the state hosts some of the country's main ports, and its beaches are significant tourist attractions.</v>
    <v>217</v>
    <v>218</v>
    <v>223</v>
    <v>224</v>
    <v>Espírito Santo</v>
    <v>225</v>
    <v>51</v>
    <v>Espírito Santo</v>
    <v>mdp/vdpid/10442</v>
  </rv>
  <rv s="0">
    <v>536870912</v>
    <v>Goiás</v>
    <v>38750702-647a-b72a-2cec-e4a55e078f36</v>
    <v>en-PH</v>
    <v>Map</v>
  </rv>
  <rv s="1">
    <fb>340086</fb>
    <v>9</v>
  </rv>
  <rv s="0">
    <v>536870912</v>
    <v>Goiânia</v>
    <v>1829f4c1-96fd-bd18-3015-b31e76f2f860</v>
    <v>en-PH</v>
    <v>Map</v>
  </rv>
  <rv s="2">
    <v>18</v>
    <v>7</v>
    <v>63</v>
    <v>7</v>
    <v>0</v>
    <v>Image of Goiás</v>
  </rv>
  <rv s="0">
    <v>805306368</v>
    <v>Ronaldo Caiado (Governor)</v>
    <v>9ca0a890-509d-b68d-cec0-182352886568</v>
    <v>en-PH</v>
    <v>Generic</v>
  </rv>
  <rv s="0">
    <v>805306368</v>
    <v>Jorge Kajuru (Senate)</v>
    <v>f8b268f7-eb68-4419-91ca-9e02bc704376</v>
    <v>en-PH</v>
    <v>Generic</v>
  </rv>
  <rv s="0">
    <v>805306368</v>
    <v>Vanderlan Cardoso (Senate)</v>
    <v>2834e1fe-3e15-64ea-9b07-e914b0069748</v>
    <v>en-PH</v>
    <v>Generic</v>
  </rv>
  <rv s="0">
    <v>805306368</v>
    <v>Wilder Morais (Senate)</v>
    <v>a7251626-bfb7-59e8-0781-f8f1f7b8003c</v>
    <v>en-PH</v>
    <v>Generic</v>
  </rv>
  <rv s="3">
    <v>28</v>
  </rv>
  <rv s="4">
    <v>https://www.bing.com/search?q=goi%c3%a1s&amp;form=skydnc</v>
    <v>Learn more on Bing</v>
  </rv>
  <rv s="1">
    <fb>7350480</fb>
    <v>9</v>
  </rv>
  <rv s="5">
    <v>#VALUE!</v>
    <v>en-PH</v>
    <v>38750702-647a-b72a-2cec-e4a55e078f36</v>
    <v>536870912</v>
    <v>1</v>
    <v>65</v>
    <v>3</v>
    <v>Goiás</v>
    <v>5</v>
    <v>6</v>
    <v>Map</v>
    <v>7</v>
    <v>53</v>
    <v>BR-GO</v>
    <v>228</v>
    <v>229</v>
    <v>3</v>
    <v>Goiás is a Brazilian state located in the Midwest region. Goiás borders the Federal District and the states of Tocantins, Bahia, Minas Gerais, Mato Grosso do Sul and Mato Grosso. The state capital is Goiânia. With 7.2 million inhabitants, Goiás ...</v>
    <v>230</v>
    <v>229</v>
    <v>235</v>
    <v>236</v>
    <v>Goiás</v>
    <v>237</v>
    <v>51</v>
    <v>Goiás</v>
    <v>mdp/vdpid/12285</v>
  </rv>
  <rv s="0">
    <v>536870912</v>
    <v>Mato Grosso do Sul</v>
    <v>7de24933-1d79-fc85-387b-3ce7947910b6</v>
    <v>en-PH</v>
    <v>Map</v>
  </rv>
  <rv s="1">
    <fb>357145.53200000001</fb>
    <v>9</v>
  </rv>
  <rv s="0">
    <v>536870912</v>
    <v>Campo Grande</v>
    <v>b2b9517f-f6af-9bc8-e45f-70d90889c003</v>
    <v>en-PH</v>
    <v>Map</v>
  </rv>
  <rv s="2">
    <v>19</v>
    <v>7</v>
    <v>66</v>
    <v>7</v>
    <v>0</v>
    <v>Image of Mato Grosso do Sul</v>
  </rv>
  <rv s="0">
    <v>805306368</v>
    <v>Eduardo Riedel (Governor)</v>
    <v>164461a4-51f1-0f11-5dd6-7a23f079c87f</v>
    <v>en-PH</v>
    <v>Generic</v>
  </rv>
  <rv s="0">
    <v>805306368</v>
    <v>Nelson Trad Filho (Senate)</v>
    <v>b5e7011b-f84b-4efa-baa1-25ba5279c704</v>
    <v>en-PH</v>
    <v>Generic</v>
  </rv>
  <rv s="0">
    <v>805306368</v>
    <v>Tereza Cristina (Senate)</v>
    <v>6dc658d1-2ae8-8137-76a7-24f391995fd4</v>
    <v>en-PH</v>
    <v>Generic</v>
  </rv>
  <rv s="0">
    <v>805306368</v>
    <v>Soraya Thronicke (Senate)</v>
    <v>a9f3aa9b-f6e5-5b10-b54f-6764d9bad73e</v>
    <v>en-PH</v>
    <v>Generic</v>
  </rv>
  <rv s="3">
    <v>29</v>
  </rv>
  <rv s="4">
    <v>https://www.bing.com/search?q=mato+grosso+do+sul&amp;form=skydnc</v>
    <v>Learn more on Bing</v>
  </rv>
  <rv s="1">
    <fb>2757013</fb>
    <v>9</v>
  </rv>
  <rv s="3">
    <v>30</v>
  </rv>
  <rv s="5">
    <v>#VALUE!</v>
    <v>en-PH</v>
    <v>7de24933-1d79-fc85-387b-3ce7947910b6</v>
    <v>536870912</v>
    <v>1</v>
    <v>68</v>
    <v>3</v>
    <v>Mato Grosso do Sul</v>
    <v>5</v>
    <v>6</v>
    <v>Map</v>
    <v>7</v>
    <v>8</v>
    <v>BR-MS</v>
    <v>240</v>
    <v>241</v>
    <v>3</v>
    <v>Mato Grosso do Sul is one of Brazil's 27 federal units, located in the southern part of the Central-West Region, bordering five Brazilian states: Mato Grosso, Goiás and Minas Gerais, São Paulo and Paraná ; and two South American countries: ...</v>
    <v>242</v>
    <v>241</v>
    <v>247</v>
    <v>248</v>
    <v>Mato Grosso do Sul</v>
    <v>249</v>
    <v>250</v>
    <v>Mato Grosso do Sul</v>
    <v>mdp/vdpid/20597</v>
  </rv>
  <rv s="0">
    <v>536870912</v>
    <v>Rio Grande do Sul</v>
    <v>9644dbbf-be0c-de9c-a534-3d7ff4801a8b</v>
    <v>en-PH</v>
    <v>Map</v>
  </rv>
  <rv s="1">
    <fb>281707.09999999998</fb>
    <v>9</v>
  </rv>
  <rv s="0">
    <v>536870912</v>
    <v>Porto Alegre</v>
    <v>59476ac7-9b13-46ab-560e-cdac4510fa7a</v>
    <v>en-PH</v>
    <v>Map</v>
  </rv>
  <rv s="2">
    <v>20</v>
    <v>7</v>
    <v>69</v>
    <v>7</v>
    <v>0</v>
    <v>Image of Rio Grande do Sul</v>
  </rv>
  <rv s="0">
    <v>805306368</v>
    <v>Eduardo Leite (Governor)</v>
    <v>d1404a79-7938-b7c4-f205-661c23e903bb</v>
    <v>en-PH</v>
    <v>Generic</v>
  </rv>
  <rv s="0">
    <v>805306368</v>
    <v>Hamilton Mourão (Senate)</v>
    <v>82d9ec69-ca73-987b-d035-f269280ea4a8</v>
    <v>en-PH</v>
    <v>Generic</v>
  </rv>
  <rv s="0">
    <v>805306368</v>
    <v>Luis Carlos Heinze (Senate)</v>
    <v>508828d8-0316-a126-81e8-351e9e99ee01</v>
    <v>en-PH</v>
    <v>Generic</v>
  </rv>
  <rv s="0">
    <v>805306368</v>
    <v>Paulo Paim (Senate)</v>
    <v>6997a1f0-43cf-36e0-73f4-8546424dc37e</v>
    <v>en-PH</v>
    <v>Generic</v>
  </rv>
  <rv s="3">
    <v>31</v>
  </rv>
  <rv s="4">
    <v>https://www.bing.com/search?q=rio+grande+do+sul&amp;form=skydnc</v>
    <v>Learn more on Bing</v>
  </rv>
  <rv s="1">
    <fb>10882965</fb>
    <v>9</v>
  </rv>
  <rv s="5">
    <v>#VALUE!</v>
    <v>en-PH</v>
    <v>9644dbbf-be0c-de9c-a534-3d7ff4801a8b</v>
    <v>536870912</v>
    <v>1</v>
    <v>71</v>
    <v>3</v>
    <v>Rio Grande do Sul</v>
    <v>5</v>
    <v>6</v>
    <v>Map</v>
    <v>7</v>
    <v>8</v>
    <v>BR-RS</v>
    <v>253</v>
    <v>254</v>
    <v>3</v>
    <v>Rio Grande do Sul is a state in the southern region of Brazil. It is the fifth-most populous state and the ninth-largest by area and it is divided into 497 municipalities. Located in the southernmost part of the country, Rio Grande do Sul is ...</v>
    <v>255</v>
    <v>254</v>
    <v>260</v>
    <v>261</v>
    <v>Rio Grande do Sul</v>
    <v>262</v>
    <v>51</v>
    <v>Rio Grande do Sul</v>
    <v>mdp/vdpid/27825</v>
  </rv>
  <rv s="0">
    <v>536870912</v>
    <v>Rio de Janeiro</v>
    <v>3f5a22fa-26bd-86f9-0345-3a6206e8aab5</v>
    <v>en-PH</v>
    <v>Map</v>
  </rv>
  <rv s="1">
    <fb>43696.1</fb>
    <v>9</v>
  </rv>
  <rv s="0">
    <v>536870912</v>
    <v>Rio de Janeiro</v>
    <v>bd69fe3d-bddf-02b9-aeb0-0384ff4b73dd</v>
    <v>en-PH</v>
    <v>Map</v>
  </rv>
  <rv s="2">
    <v>21</v>
    <v>7</v>
    <v>72</v>
    <v>7</v>
    <v>0</v>
    <v>Image of Rio de Janeiro</v>
  </rv>
  <rv s="0">
    <v>805306368</v>
    <v>Cláudio Castro (Governor)</v>
    <v>4f6be35e-fc81-e7c7-4845-05268a59263a</v>
    <v>en-PH</v>
    <v>Generic</v>
  </rv>
  <rv s="0">
    <v>805306368</v>
    <v>Carlos Portinho (Senate)</v>
    <v>4932020f-f989-2103-e627-310fcaf1f740</v>
    <v>en-PH</v>
    <v>Generic</v>
  </rv>
  <rv s="0">
    <v>805306368</v>
    <v>Flávio Bolsonaro (Senate)</v>
    <v>dec12564-6c98-c259-56ac-da94fc6fe5c3</v>
    <v>en-PH</v>
    <v>Generic</v>
  </rv>
  <rv s="0">
    <v>805306368</v>
    <v>Romário (Senate)</v>
    <v>066e5b11-a708-58f2-1b67-5bbe9849f564</v>
    <v>en-PH</v>
    <v>Generic</v>
  </rv>
  <rv s="3">
    <v>32</v>
  </rv>
  <rv s="4">
    <v>https://www.bing.com/search?q=rio+de+janeiro+state&amp;form=skydnc</v>
    <v>Learn more on Bing</v>
  </rv>
  <rv s="1">
    <fb>17219679</fb>
    <v>9</v>
  </rv>
  <rv s="5">
    <v>#VALUE!</v>
    <v>en-PH</v>
    <v>3f5a22fa-26bd-86f9-0345-3a6206e8aab5</v>
    <v>536870912</v>
    <v>1</v>
    <v>74</v>
    <v>3</v>
    <v>Rio de Janeiro</v>
    <v>5</v>
    <v>6</v>
    <v>Map</v>
    <v>7</v>
    <v>53</v>
    <v>BR-RJ</v>
    <v>265</v>
    <v>266</v>
    <v>3</v>
    <v>Rio de Janeiro is one of the 27 federative units of Brazil. It has the second largest economy of Brazil, with the largest being that of the state of São Paulo. The state, which has 8.2% of the Brazilian population, is responsible for 9.2% of the ...</v>
    <v>267</v>
    <v>266</v>
    <v>272</v>
    <v>273</v>
    <v>Rio de Janeiro</v>
    <v>274</v>
    <v>51</v>
    <v>Rio de Janeiro</v>
    <v>mdp/vdpid/27818</v>
  </rv>
  <rv s="0">
    <v>536870912</v>
    <v>Santa Catarina</v>
    <v>6262969d-76c7-e65f-1be5-668011a93ff0</v>
    <v>en-PH</v>
    <v>Map</v>
  </rv>
  <rv s="1">
    <fb>95730.7</fb>
    <v>9</v>
  </rv>
  <rv s="0">
    <v>536870912</v>
    <v>Florianópolis</v>
    <v>21bdeb41-fb0e-9537-f2bb-6ca2732f1d96</v>
    <v>en-PH</v>
    <v>Map</v>
  </rv>
  <rv s="2">
    <v>22</v>
    <v>7</v>
    <v>75</v>
    <v>7</v>
    <v>0</v>
    <v>Image of Santa Catarina</v>
  </rv>
  <rv s="0">
    <v>536870912</v>
    <v>Joinville</v>
    <v>5e86234b-4bd7-a488-c6bc-8ed280c1c890</v>
    <v>en-PH</v>
    <v>Map</v>
  </rv>
  <rv s="0">
    <v>805306368</v>
    <v>Jorginho Mello (Governor)</v>
    <v>4ee030f8-d90a-4e6f-a873-873ccd52579d</v>
    <v>en-PH</v>
    <v>Generic</v>
  </rv>
  <rv s="0">
    <v>805306368</v>
    <v>Esperidião Amin (Senate)</v>
    <v>f75d7f73-4fc6-6642-c5ca-d7e9dd11c1e7</v>
    <v>en-PH</v>
    <v>Generic</v>
  </rv>
  <rv s="0">
    <v>805306368</v>
    <v>Ivete da Silveira (Senate)</v>
    <v>c16b3cd2-eb5f-83a5-e4ad-e7c2df10df14</v>
    <v>en-PH</v>
    <v>Generic</v>
  </rv>
  <rv s="0">
    <v>805306368</v>
    <v>Jorge Seif (Senate)</v>
    <v>b93cbffd-e37f-6d92-6c79-ee8ad4206d8c</v>
    <v>en-PH</v>
    <v>Generic</v>
  </rv>
  <rv s="3">
    <v>33</v>
  </rv>
  <rv s="4">
    <v>https://www.bing.com/search?q=santa+catarina&amp;form=skydnc</v>
    <v>Learn more on Bing</v>
  </rv>
  <rv s="1">
    <fb>7610361</fb>
    <v>9</v>
  </rv>
  <rv s="5">
    <v>#VALUE!</v>
    <v>en-PH</v>
    <v>6262969d-76c7-e65f-1be5-668011a93ff0</v>
    <v>536870912</v>
    <v>1</v>
    <v>77</v>
    <v>3</v>
    <v>Santa Catarina</v>
    <v>5</v>
    <v>6</v>
    <v>Map</v>
    <v>7</v>
    <v>8</v>
    <v>BR-SC</v>
    <v>277</v>
    <v>278</v>
    <v>3</v>
    <v>Santa Catarina is one of the 27 federative units of Brazil. It is located in the centre of the country's Southern region. It is bordered to the north by the state of Paraná, to the south by the state of Rio Grande do Sul, to the east by the ...</v>
    <v>279</v>
    <v>280</v>
    <v>285</v>
    <v>286</v>
    <v>Santa Catarina</v>
    <v>287</v>
    <v>51</v>
    <v>Santa Catarina</v>
    <v>mdp/vdpid/29612</v>
  </rv>
  <rv s="0">
    <v>536870912</v>
    <v>Federal District</v>
    <v>88dfc3b6-8e7a-694d-61b2-96d14f226ec4</v>
    <v>en-PH</v>
    <v>Map</v>
  </rv>
  <rv s="1">
    <fb>5760.8</fb>
    <v>9</v>
  </rv>
  <rv s="0">
    <v>536870912</v>
    <v>Brasília</v>
    <v>0f4c1a26-f33c-b6de-a63f-578da6617369</v>
    <v>en-PH</v>
    <v>Map</v>
  </rv>
  <rv s="2">
    <v>23</v>
    <v>7</v>
    <v>78</v>
    <v>7</v>
    <v>0</v>
    <v>Image of Federal District</v>
  </rv>
  <rv s="0">
    <v>805306368</v>
    <v>Ibaneis Rocha (Governor)</v>
    <v>57245eaa-8160-7a5c-b756-608805c52133</v>
    <v>en-PH</v>
    <v>Generic</v>
  </rv>
  <rv s="0">
    <v>805306368</v>
    <v>Damares Alves (Senate)</v>
    <v>660fd674-bcb2-b6bb-c1d4-a983df83078f</v>
    <v>en-PH</v>
    <v>Generic</v>
  </rv>
  <rv s="0">
    <v>805306368</v>
    <v>Izalci Lucas (Senate)</v>
    <v>738a22f9-28aa-39b2-1902-9cc1421471ad</v>
    <v>en-PH</v>
    <v>Generic</v>
  </rv>
  <rv s="0">
    <v>805306368</v>
    <v>Leila Barros (Senate)</v>
    <v>24f9d264-fb70-785c-4b29-417717f7f396</v>
    <v>en-PH</v>
    <v>Generic</v>
  </rv>
  <rv s="3">
    <v>34</v>
  </rv>
  <rv s="4">
    <v>https://www.bing.com/search?q=federal+district+brazil&amp;form=skydnc</v>
    <v>Learn more on Bing</v>
  </rv>
  <rv s="1">
    <fb>3039444</fb>
    <v>9</v>
  </rv>
  <rv s="7">
    <v>#VALUE!</v>
    <v>en-PH</v>
    <v>88dfc3b6-8e7a-694d-61b2-96d14f226ec4</v>
    <v>536870912</v>
    <v>1</v>
    <v>80</v>
    <v>81</v>
    <v>Federal District</v>
    <v>5</v>
    <v>6</v>
    <v>Map</v>
    <v>7</v>
    <v>82</v>
    <v>BR-DF</v>
    <v>290</v>
    <v>291</v>
    <v>3</v>
    <v>The Federal District is one of 27 federative units of Brazil. Located in the Center-West Region, it is the smallest Brazilian federal unit and the only one that has no municipalities, being divided into 33 administrative regions. The federal ...</v>
    <v>292</v>
    <v>291</v>
    <v>297</v>
    <v>298</v>
    <v>Federal District</v>
    <v>299</v>
    <v>Federal District</v>
    <v>mdp/vdpid/9132</v>
  </rv>
  <rv s="0">
    <v>536870912</v>
    <v>Minas Gerais</v>
    <v>974e2066-dee0-aecd-c973-50babb750033</v>
    <v>en-PH</v>
    <v>Map</v>
  </rv>
  <rv s="1">
    <fb>586514</fb>
    <v>9</v>
  </rv>
  <rv s="0">
    <v>536870912</v>
    <v>Belo Horizonte</v>
    <v>7d1c2d93-f138-98ba-29b3-c39c6ce5b7d8</v>
    <v>en-PH</v>
    <v>Map</v>
  </rv>
  <rv s="2">
    <v>24</v>
    <v>7</v>
    <v>83</v>
    <v>7</v>
    <v>0</v>
    <v>Image of Minas Gerais</v>
  </rv>
  <rv s="0">
    <v>805306368</v>
    <v>Romeu Zema (Governor)</v>
    <v>0b49577b-e092-186e-762c-adfe99963c80</v>
    <v>en-PH</v>
    <v>Generic</v>
  </rv>
  <rv s="0">
    <v>805306368</v>
    <v>Carlos Viana (Senate)</v>
    <v>00c5ad73-5fb7-4d3e-b11a-b16c49efc8dc</v>
    <v>en-PH</v>
    <v>Generic</v>
  </rv>
  <rv s="0">
    <v>805306368</v>
    <v>Cleitinho Azevedo (Senate)</v>
    <v>a45d5157-bb5e-c75d-bd03-dc6f0ce4dbc1</v>
    <v>en-PH</v>
    <v>Generic</v>
  </rv>
  <rv s="0">
    <v>805306368</v>
    <v>Rodrigo Pacheco (Senate)</v>
    <v>3dabaab4-151c-2a30-e245-b0ad8216998d</v>
    <v>en-PH</v>
    <v>Generic</v>
  </rv>
  <rv s="3">
    <v>35</v>
  </rv>
  <rv s="4">
    <v>https://www.bing.com/search?q=minas+gerais&amp;form=skydnc</v>
    <v>Learn more on Bing</v>
  </rv>
  <rv s="1">
    <fb>21322691</fb>
    <v>9</v>
  </rv>
  <rv s="5">
    <v>#VALUE!</v>
    <v>en-PH</v>
    <v>974e2066-dee0-aecd-c973-50babb750033</v>
    <v>536870912</v>
    <v>1</v>
    <v>85</v>
    <v>3</v>
    <v>Minas Gerais</v>
    <v>5</v>
    <v>6</v>
    <v>Map</v>
    <v>7</v>
    <v>53</v>
    <v>BR-MG</v>
    <v>302</v>
    <v>303</v>
    <v>3</v>
    <v>Minas Gerais is one of the 27 federative units of Brazil, being the fourth largest state by area and the second largest in number of inhabitants with a population of 20,539,989 according to the 2022 census. Located in the Southeast Region of the ...</v>
    <v>304</v>
    <v>303</v>
    <v>309</v>
    <v>310</v>
    <v>Minas Gerais</v>
    <v>311</v>
    <v>51</v>
    <v>Minas Gerais</v>
    <v>mdp/vdpid/37692</v>
  </rv>
  <rv s="0">
    <v>536870912</v>
    <v>Paraná</v>
    <v>a33450c4-459a-0682-41ee-635b343dd785</v>
    <v>en-PH</v>
    <v>Map</v>
  </rv>
  <rv s="1">
    <fb>199314.9</fb>
    <v>9</v>
  </rv>
  <rv s="0">
    <v>536870912</v>
    <v>Curitiba</v>
    <v>9de3a316-28c1-de67-4f2f-b5f04beb753a</v>
    <v>en-PH</v>
    <v>Map</v>
  </rv>
  <rv s="2">
    <v>25</v>
    <v>7</v>
    <v>86</v>
    <v>7</v>
    <v>0</v>
    <v>Image of Paraná</v>
  </rv>
  <rv s="0">
    <v>805306368</v>
    <v>Ratinho Júnior (Governor)</v>
    <v>9fe83006-4ffb-319f-cb3b-87c0590d9334</v>
    <v>en-PH</v>
    <v>Generic</v>
  </rv>
  <rv s="0">
    <v>805306368</v>
    <v>Flávio Arns (Senate)</v>
    <v>a25bc987-8c99-1c22-4fbc-49b4b1f3cce8</v>
    <v>en-PH</v>
    <v>Generic</v>
  </rv>
  <rv s="0">
    <v>805306368</v>
    <v>Oriovisto Guimarães (Senate)</v>
    <v>687c0150-7a47-dfdb-1ddf-40cc94a47dbd</v>
    <v>en-PH</v>
    <v>Generic</v>
  </rv>
  <rv s="0">
    <v>805306368</v>
    <v>Sergio Moro (Senate)</v>
    <v>45bcf27f-f5d6-14b3-dfb8-9089ec125305</v>
    <v>en-PH</v>
    <v>Generic</v>
  </rv>
  <rv s="3">
    <v>36</v>
  </rv>
  <rv s="4">
    <v>https://www.bing.com/search?q=paran%c3%a1&amp;form=skydnc</v>
    <v>Learn more on Bing</v>
  </rv>
  <rv s="1">
    <fb>11444380</fb>
    <v>9</v>
  </rv>
  <rv s="5">
    <v>#VALUE!</v>
    <v>en-PH</v>
    <v>a33450c4-459a-0682-41ee-635b343dd785</v>
    <v>536870912</v>
    <v>1</v>
    <v>88</v>
    <v>3</v>
    <v>Paraná</v>
    <v>5</v>
    <v>6</v>
    <v>Map</v>
    <v>7</v>
    <v>8</v>
    <v>BR-PR</v>
    <v>314</v>
    <v>315</v>
    <v>3</v>
    <v>Paraná is one of the 26 states of Brazil, in the south of the country. It is bordered in the north by São Paulo state, in the east by the Atlantic Ocean, in the south by Santa Catarina state and the province of Misiones, Argentina, and in the ...</v>
    <v>316</v>
    <v>315</v>
    <v>321</v>
    <v>322</v>
    <v>Paraná</v>
    <v>323</v>
    <v>51</v>
    <v>Paraná</v>
    <v>mdp/vdpid/9340570</v>
  </rv>
  <rv s="0">
    <v>536870912</v>
    <v>São Paulo</v>
    <v>4d56ae2d-1aad-8c4f-dca2-4456acc12f89</v>
    <v>en-PH</v>
    <v>Map</v>
  </rv>
  <rv s="1">
    <fb>248209.4</fb>
    <v>9</v>
  </rv>
  <rv s="0">
    <v>536870912</v>
    <v>São Paulo</v>
    <v>c6cf2f6e-626c-4267-ae48-9e13ea74d2b9</v>
    <v>en-PH</v>
    <v>Map</v>
  </rv>
  <rv s="2">
    <v>26</v>
    <v>7</v>
    <v>89</v>
    <v>7</v>
    <v>0</v>
    <v>Image of São Paulo</v>
  </rv>
  <rv s="0">
    <v>805306368</v>
    <v>Tarcísio de Freitas (Governor)</v>
    <v>28a6dcac-378d-099d-8a36-ef1bc8205fa0</v>
    <v>en-PH</v>
    <v>Generic</v>
  </rv>
  <rv s="0">
    <v>805306368</v>
    <v>Alexandre Giordano (Senate)</v>
    <v>4373ff21-5e3b-b54e-1c8f-13294bcfd8e4</v>
    <v>en-PH</v>
    <v>Generic</v>
  </rv>
  <rv s="0">
    <v>805306368</v>
    <v>Marcos Pontes (Senate)</v>
    <v>b20b961c-19bc-0021-c0cf-5d294d7fc2de</v>
    <v>en-PH</v>
    <v>Generic</v>
  </rv>
  <rv s="0">
    <v>805306368</v>
    <v>Mara Gabrilli (Senate)</v>
    <v>8ad24d5d-da6f-b938-6260-d6908944f271</v>
    <v>en-PH</v>
    <v>Generic</v>
  </rv>
  <rv s="3">
    <v>37</v>
  </rv>
  <rv s="4">
    <v>https://www.bing.com/search?q=s%c3%a3o+paulo+state&amp;form=skydnc</v>
    <v>Learn more on Bing</v>
  </rv>
  <rv s="1">
    <fb>46004000</fb>
    <v>9</v>
  </rv>
  <rv s="5">
    <v>#VALUE!</v>
    <v>en-PH</v>
    <v>4d56ae2d-1aad-8c4f-dca2-4456acc12f89</v>
    <v>536870912</v>
    <v>1</v>
    <v>91</v>
    <v>3</v>
    <v>São Paulo</v>
    <v>5</v>
    <v>6</v>
    <v>Map</v>
    <v>7</v>
    <v>92</v>
    <v>BR-SP</v>
    <v>326</v>
    <v>327</v>
    <v>3</v>
    <v>São Paulo is one of the 26 states of the Federative Republic of Brazil and is named after Saint Paul of Tarsus. It is located in the Southeast Region and is bordered by the states of Minas Gerais to the north and northeast, Paraná to the south, ...</v>
    <v>328</v>
    <v>327</v>
    <v>333</v>
    <v>334</v>
    <v>São Paulo</v>
    <v>335</v>
    <v>51</v>
    <v>São Paulo</v>
    <v>mdp/vdpid/29821</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rvStructures>
</file>

<file path=xl/richData/rdsupportingpropertybag.xml><?xml version="1.0" encoding="utf-8"?>
<supportingPropertyBags xmlns="http://schemas.microsoft.com/office/spreadsheetml/2017/richdata2">
  <spbArrays count="3">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spbArrays>
  <spbData count="93">
    <spb s="0">
      <v xml:space="preserve">Wikipedia	</v>
      <v xml:space="preserve">CC BY-SA 3.0	</v>
      <v xml:space="preserve">https://en.wikipedia.org/wiki/Roraima	</v>
      <v xml:space="preserve">https://creativecommons.org/licenses/by-sa/3.0	</v>
    </spb>
    <spb s="0">
      <v xml:space="preserve">Wikipedia	</v>
      <v xml:space="preserve">CC-BY-SA	</v>
      <v xml:space="preserve">http://en.wikipedia.org/wiki/Roraima	</v>
      <v xml:space="preserve">http://creativecommons.org/licenses/by-sa/3.0/	</v>
    </spb>
    <spb s="1">
      <v>0</v>
      <v>0</v>
      <v>0</v>
      <v>0</v>
      <v>0</v>
      <v>1</v>
      <v>0</v>
      <v>0</v>
      <v>0</v>
    </spb>
    <spb s="2">
      <v>0</v>
      <v>Name</v>
      <v>LearnMoreOnLink</v>
    </spb>
    <spb s="3">
      <v>0</v>
      <v>0</v>
      <v>0</v>
    </spb>
    <spb s="4">
      <v>4</v>
      <v>4</v>
      <v>4</v>
    </spb>
    <spb s="5">
      <v>1</v>
      <v>2</v>
    </spb>
    <spb s="6">
      <v>https://www.bing.com</v>
      <v>https://www.bing.com/th?id=Ga%5Cbing_yt.png&amp;w=100&amp;h=40&amp;c=0&amp;pid=0.1</v>
      <v>Powered by Bing</v>
    </spb>
    <spb s="7">
      <v>square km</v>
      <v>2022</v>
    </spb>
    <spb s="8">
      <v>3</v>
    </spb>
    <spb s="0">
      <v xml:space="preserve">Wikipedia	</v>
      <v xml:space="preserve">CC BY-SA 3.0	</v>
      <v xml:space="preserve">https://en.wikipedia.org/wiki/Amap%C3%A1	</v>
      <v xml:space="preserve">https://creativecommons.org/licenses/by-sa/3.0	</v>
    </spb>
    <spb s="0">
      <v xml:space="preserve">Wikipedia	</v>
      <v xml:space="preserve">CC-BY-SA	</v>
      <v xml:space="preserve">http://en.wikipedia.org/wiki/Amapá	</v>
      <v xml:space="preserve">http://creativecommons.org/licenses/by-sa/3.0/	</v>
    </spb>
    <spb s="1">
      <v>10</v>
      <v>10</v>
      <v>10</v>
      <v>10</v>
      <v>10</v>
      <v>11</v>
      <v>10</v>
      <v>10</v>
      <v>10</v>
    </spb>
    <spb s="0">
      <v xml:space="preserve">Wikipedia	</v>
      <v xml:space="preserve">CC BY-SA 3.0	</v>
      <v xml:space="preserve">https://en.wikipedia.org/wiki/Amazonas_(Brazilian_state)	</v>
      <v xml:space="preserve">https://creativecommons.org/licenses/by-sa/3.0	</v>
    </spb>
    <spb s="0">
      <v xml:space="preserve">Wikipedia	</v>
      <v xml:space="preserve">CC-BY-SA	</v>
      <v xml:space="preserve">http://en.wikipedia.org/wiki/Amazonas_(Brazilian_state)	</v>
      <v xml:space="preserve">http://creativecommons.org/licenses/by-sa/3.0/	</v>
    </spb>
    <spb s="1">
      <v>13</v>
      <v>13</v>
      <v>13</v>
      <v>13</v>
      <v>13</v>
      <v>14</v>
      <v>13</v>
      <v>13</v>
      <v>13</v>
    </spb>
    <spb s="0">
      <v xml:space="preserve">Wikipedia	</v>
      <v xml:space="preserve">CC BY-SA 3.0	</v>
      <v xml:space="preserve">https://en.wikipedia.org/wiki/Alagoas	</v>
      <v xml:space="preserve">https://creativecommons.org/licenses/by-sa/3.0	</v>
    </spb>
    <spb s="0">
      <v xml:space="preserve">Wikipedia	</v>
      <v xml:space="preserve">CC-BY-SA	</v>
      <v xml:space="preserve">http://en.wikipedia.org/wiki/Alagoas	</v>
      <v xml:space="preserve">http://creativecommons.org/licenses/by-sa/3.0/	</v>
    </spb>
    <spb s="1">
      <v>16</v>
      <v>16</v>
      <v>16</v>
      <v>16</v>
      <v>16</v>
      <v>17</v>
      <v>16</v>
      <v>16</v>
      <v>16</v>
    </spb>
    <spb s="0">
      <v xml:space="preserve">Wikipedia	</v>
      <v xml:space="preserve">CC BY-SA 3.0	</v>
      <v xml:space="preserve">https://en.wikipedia.org/wiki/Par%C3%A1	</v>
      <v xml:space="preserve">https://creativecommons.org/licenses/by-sa/3.0	</v>
    </spb>
    <spb s="0">
      <v xml:space="preserve">Wikipedia	</v>
      <v xml:space="preserve">CC-BY-SA	</v>
      <v xml:space="preserve">http://en.wikipedia.org/wiki/Pará	</v>
      <v xml:space="preserve">http://creativecommons.org/licenses/by-sa/3.0/	</v>
    </spb>
    <spb s="1">
      <v>19</v>
      <v>19</v>
      <v>19</v>
      <v>19</v>
      <v>19</v>
      <v>20</v>
      <v>19</v>
      <v>19</v>
      <v>19</v>
    </spb>
    <spb s="0">
      <v xml:space="preserve">Wikipedia	</v>
      <v xml:space="preserve">CC BY-SA 3.0	</v>
      <v xml:space="preserve">https://en.wikipedia.org/wiki/Maranh%C3%A3o	</v>
      <v xml:space="preserve">https://creativecommons.org/licenses/by-sa/3.0	</v>
    </spb>
    <spb s="0">
      <v xml:space="preserve">Wikipedia	</v>
      <v xml:space="preserve">CC-BY-SA	</v>
      <v xml:space="preserve">http://en.wikipedia.org/wiki/Maranhão	</v>
      <v xml:space="preserve">http://creativecommons.org/licenses/by-sa/3.0/	</v>
    </spb>
    <spb s="1">
      <v>22</v>
      <v>22</v>
      <v>22</v>
      <v>22</v>
      <v>22</v>
      <v>23</v>
      <v>22</v>
      <v>22</v>
      <v>22</v>
    </spb>
    <spb s="0">
      <v xml:space="preserve">Wikipedia	</v>
      <v xml:space="preserve">CC BY-SA 3.0	</v>
      <v xml:space="preserve">https://en.wikipedia.org/wiki/Sergipe	</v>
      <v xml:space="preserve">https://creativecommons.org/licenses/by-sa/3.0	</v>
    </spb>
    <spb s="0">
      <v xml:space="preserve">Wikipedia	</v>
      <v xml:space="preserve">CC-BY-SA	</v>
      <v xml:space="preserve">http://en.wikipedia.org/wiki/Sergipe	</v>
      <v xml:space="preserve">http://creativecommons.org/licenses/by-sa/3.0/	</v>
    </spb>
    <spb s="1">
      <v>25</v>
      <v>25</v>
      <v>25</v>
      <v>25</v>
      <v>25</v>
      <v>26</v>
      <v>25</v>
      <v>25</v>
      <v>25</v>
    </spb>
    <spb s="0">
      <v xml:space="preserve">Wikipedia	</v>
      <v xml:space="preserve">CC BY-SA 3.0	</v>
      <v xml:space="preserve">https://en.wikipedia.org/wiki/Cear%C3%A1	</v>
      <v xml:space="preserve">https://creativecommons.org/licenses/by-sa/3.0	</v>
    </spb>
    <spb s="0">
      <v xml:space="preserve">Wikipedia	</v>
      <v xml:space="preserve">CC-BY-SA	</v>
      <v xml:space="preserve">http://en.wikipedia.org/wiki/Ceará	</v>
      <v xml:space="preserve">http://creativecommons.org/licenses/by-sa/3.0/	</v>
    </spb>
    <spb s="1">
      <v>28</v>
      <v>28</v>
      <v>28</v>
      <v>28</v>
      <v>28</v>
      <v>29</v>
      <v>28</v>
      <v>28</v>
      <v>28</v>
    </spb>
    <spb s="0">
      <v xml:space="preserve">Wikipedia	</v>
      <v xml:space="preserve">CC BY-SA 3.0	</v>
      <v xml:space="preserve">https://en.wikipedia.org/wiki/Acre_(state)	</v>
      <v xml:space="preserve">https://creativecommons.org/licenses/by-sa/3.0	</v>
    </spb>
    <spb s="0">
      <v xml:space="preserve">Wikipedia	</v>
      <v xml:space="preserve">CC-BY-SA	</v>
      <v xml:space="preserve">http://en.wikipedia.org/wiki/Acre_(state)	</v>
      <v xml:space="preserve">http://creativecommons.org/licenses/by-sa/3.0/	</v>
    </spb>
    <spb s="1">
      <v>31</v>
      <v>31</v>
      <v>31</v>
      <v>31</v>
      <v>31</v>
      <v>32</v>
      <v>31</v>
      <v>31</v>
      <v>31</v>
    </spb>
    <spb s="0">
      <v xml:space="preserve">Wikipedia	</v>
      <v xml:space="preserve">CC BY-SA 3.0	</v>
      <v xml:space="preserve">https://en.wikipedia.org/wiki/Para%C3%ADba	</v>
      <v xml:space="preserve">https://creativecommons.org/licenses/by-sa/3.0	</v>
    </spb>
    <spb s="0">
      <v xml:space="preserve">Wikipedia	</v>
      <v xml:space="preserve">CC-BY-SA	</v>
      <v xml:space="preserve">http://en.wikipedia.org/wiki/Paraíba	</v>
      <v xml:space="preserve">http://creativecommons.org/licenses/by-sa/3.0/	</v>
    </spb>
    <spb s="1">
      <v>34</v>
      <v>34</v>
      <v>34</v>
      <v>34</v>
      <v>34</v>
      <v>35</v>
      <v>34</v>
      <v>34</v>
      <v>34</v>
    </spb>
    <spb s="0">
      <v xml:space="preserve">Wikipedia	</v>
      <v xml:space="preserve">CC BY-SA 3.0	</v>
      <v xml:space="preserve">https://en.wikipedia.org/wiki/Piau%C3%AD	</v>
      <v xml:space="preserve">https://creativecommons.org/licenses/by-sa/3.0	</v>
    </spb>
    <spb s="0">
      <v xml:space="preserve">Wikipedia	</v>
      <v xml:space="preserve">CC-BY-SA	</v>
      <v xml:space="preserve">http://en.wikipedia.org/wiki/Piauí	</v>
      <v xml:space="preserve">http://creativecommons.org/licenses/by-sa/3.0/	</v>
    </spb>
    <spb s="1">
      <v>37</v>
      <v>37</v>
      <v>37</v>
      <v>37</v>
      <v>37</v>
      <v>38</v>
      <v>37</v>
      <v>37</v>
      <v>37</v>
    </spb>
    <spb s="0">
      <v xml:space="preserve">Wikipedia	</v>
      <v xml:space="preserve">CC BY-SA 3.0	</v>
      <v xml:space="preserve">https://en.wikipedia.org/wiki/Bahia	</v>
      <v xml:space="preserve">https://creativecommons.org/licenses/by-sa/3.0	</v>
    </spb>
    <spb s="0">
      <v xml:space="preserve">Wikipedia	</v>
      <v xml:space="preserve">CC-BY-SA	</v>
      <v xml:space="preserve">http://en.wikipedia.org/wiki/Bahia	</v>
      <v xml:space="preserve">http://creativecommons.org/licenses/by-sa/3.0/	</v>
    </spb>
    <spb s="1">
      <v>40</v>
      <v>40</v>
      <v>40</v>
      <v>40</v>
      <v>40</v>
      <v>41</v>
      <v>40</v>
      <v>40</v>
      <v>40</v>
    </spb>
    <spb s="2">
      <v>1</v>
      <v>Name</v>
      <v>LearnMoreOnLink</v>
    </spb>
    <spb s="0">
      <v xml:space="preserve">Wikipedia	</v>
      <v xml:space="preserve">CC BY-SA 3.0	</v>
      <v xml:space="preserve">https://en.wikipedia.org/wiki/Rond%C3%B4nia	</v>
      <v xml:space="preserve">https://creativecommons.org/licenses/by-sa/3.0	</v>
    </spb>
    <spb s="0">
      <v xml:space="preserve">Wikipedia	</v>
      <v xml:space="preserve">CC-BY-SA	</v>
      <v xml:space="preserve">http://en.wikipedia.org/wiki/Rondônia	</v>
      <v xml:space="preserve">http://creativecommons.org/licenses/by-sa/3.0/	</v>
    </spb>
    <spb s="1">
      <v>44</v>
      <v>44</v>
      <v>44</v>
      <v>44</v>
      <v>44</v>
      <v>45</v>
      <v>44</v>
      <v>44</v>
      <v>44</v>
    </spb>
    <spb s="0">
      <v xml:space="preserve">Wikipedia	</v>
      <v xml:space="preserve">CC BY-SA 3.0	</v>
      <v xml:space="preserve">https://en.wikipedia.org/wiki/Rio_Grande_do_Norte	</v>
      <v xml:space="preserve">https://creativecommons.org/licenses/by-sa/3.0	</v>
    </spb>
    <spb s="0">
      <v xml:space="preserve">Wikipedia	</v>
      <v xml:space="preserve">CC-BY-SA	</v>
      <v xml:space="preserve">http://en.wikipedia.org/wiki/Rio_Grande_do_Norte	</v>
      <v xml:space="preserve">http://creativecommons.org/licenses/by-sa/3.0/	</v>
    </spb>
    <spb s="1">
      <v>47</v>
      <v>47</v>
      <v>47</v>
      <v>47</v>
      <v>47</v>
      <v>48</v>
      <v>47</v>
      <v>47</v>
      <v>47</v>
    </spb>
    <spb s="0">
      <v xml:space="preserve">Wikipedia	</v>
      <v xml:space="preserve">CC BY-SA 3.0	</v>
      <v xml:space="preserve">https://en.wikipedia.org/wiki/Pernambuco	</v>
      <v xml:space="preserve">https://creativecommons.org/licenses/by-sa/3.0	</v>
    </spb>
    <spb s="0">
      <v xml:space="preserve">Wikipedia	</v>
      <v xml:space="preserve">CC-BY-SA	</v>
      <v xml:space="preserve">http://en.wikipedia.org/wiki/Pernambuco	</v>
      <v xml:space="preserve">http://creativecommons.org/licenses/by-sa/3.0/	</v>
    </spb>
    <spb s="1">
      <v>50</v>
      <v>50</v>
      <v>50</v>
      <v>50</v>
      <v>50</v>
      <v>51</v>
      <v>50</v>
      <v>50</v>
      <v>50</v>
    </spb>
    <spb s="7">
      <v>square km</v>
      <v>2024</v>
    </spb>
    <spb s="0">
      <v xml:space="preserve">Wikipedia	</v>
      <v xml:space="preserve">CC BY-SA 3.0	</v>
      <v xml:space="preserve">https://en.wikipedia.org/wiki/Mato_Grosso	</v>
      <v xml:space="preserve">https://creativecommons.org/licenses/by-sa/3.0	</v>
    </spb>
    <spb s="0">
      <v xml:space="preserve">Wikipedia	</v>
      <v xml:space="preserve">CC-BY-SA	</v>
      <v xml:space="preserve">http://en.wikipedia.org/wiki/Mato_Grosso	</v>
      <v xml:space="preserve">http://creativecommons.org/licenses/by-sa/3.0/	</v>
    </spb>
    <spb s="1">
      <v>54</v>
      <v>54</v>
      <v>54</v>
      <v>54</v>
      <v>54</v>
      <v>55</v>
      <v>54</v>
      <v>54</v>
      <v>54</v>
    </spb>
    <spb s="0">
      <v xml:space="preserve">Wikipedia	</v>
      <v xml:space="preserve">CC BY-SA 3.0	</v>
      <v xml:space="preserve">https://en.wikipedia.org/wiki/Tocantins	</v>
      <v xml:space="preserve">https://creativecommons.org/licenses/by-sa/3.0	</v>
    </spb>
    <spb s="0">
      <v xml:space="preserve">Wikipedia	</v>
      <v xml:space="preserve">CC-BY-SA	</v>
      <v xml:space="preserve">http://en.wikipedia.org/wiki/Tocantins	</v>
      <v xml:space="preserve">http://creativecommons.org/licenses/by-sa/3.0/	</v>
    </spb>
    <spb s="1">
      <v>57</v>
      <v>57</v>
      <v>57</v>
      <v>57</v>
      <v>57</v>
      <v>58</v>
      <v>57</v>
      <v>57</v>
      <v>57</v>
    </spb>
    <spb s="0">
      <v xml:space="preserve">Wikipedia	</v>
      <v xml:space="preserve">CC BY-SA 3.0	</v>
      <v xml:space="preserve">https://en.wikipedia.org/wiki/Esp%C3%ADrito_Santo	</v>
      <v xml:space="preserve">https://creativecommons.org/licenses/by-sa/3.0	</v>
    </spb>
    <spb s="0">
      <v xml:space="preserve">Wikipedia	</v>
      <v xml:space="preserve">CC-BY-SA	</v>
      <v xml:space="preserve">http://en.wikipedia.org/wiki/Espírito_Santo	</v>
      <v xml:space="preserve">http://creativecommons.org/licenses/by-sa/3.0/	</v>
    </spb>
    <spb s="1">
      <v>60</v>
      <v>60</v>
      <v>60</v>
      <v>60</v>
      <v>60</v>
      <v>61</v>
      <v>60</v>
      <v>60</v>
      <v>60</v>
    </spb>
    <spb s="0">
      <v xml:space="preserve">Wikipedia	</v>
      <v xml:space="preserve">CC BY-SA 3.0	</v>
      <v xml:space="preserve">https://en.wikipedia.org/wiki/Goi%C3%A1s	</v>
      <v xml:space="preserve">https://creativecommons.org/licenses/by-sa/3.0	</v>
    </spb>
    <spb s="0">
      <v xml:space="preserve">Wikipedia	</v>
      <v xml:space="preserve">CC-BY-SA	</v>
      <v xml:space="preserve">http://en.wikipedia.org/wiki/Goiás	</v>
      <v xml:space="preserve">http://creativecommons.org/licenses/by-sa/3.0/	</v>
    </spb>
    <spb s="1">
      <v>63</v>
      <v>63</v>
      <v>63</v>
      <v>63</v>
      <v>63</v>
      <v>64</v>
      <v>63</v>
      <v>63</v>
      <v>63</v>
    </spb>
    <spb s="0">
      <v xml:space="preserve">Wikipedia	</v>
      <v xml:space="preserve">CC BY-SA 3.0	</v>
      <v xml:space="preserve">https://en.wikipedia.org/wiki/Mato_Grosso_do_Sul	</v>
      <v xml:space="preserve">https://creativecommons.org/licenses/by-sa/3.0	</v>
    </spb>
    <spb s="0">
      <v xml:space="preserve">Wikipedia	</v>
      <v xml:space="preserve">CC-BY-SA	</v>
      <v xml:space="preserve">http://en.wikipedia.org/wiki/Mato_Grosso_do_Sul	</v>
      <v xml:space="preserve">http://creativecommons.org/licenses/by-sa/3.0/	</v>
    </spb>
    <spb s="1">
      <v>66</v>
      <v>66</v>
      <v>66</v>
      <v>66</v>
      <v>66</v>
      <v>67</v>
      <v>66</v>
      <v>66</v>
      <v>66</v>
    </spb>
    <spb s="0">
      <v xml:space="preserve">Wikipedia	</v>
      <v xml:space="preserve">CC BY-SA 3.0	</v>
      <v xml:space="preserve">https://en.wikipedia.org/wiki/Rio_Grande_do_Sul	</v>
      <v xml:space="preserve">https://creativecommons.org/licenses/by-sa/3.0	</v>
    </spb>
    <spb s="0">
      <v xml:space="preserve">Wikipedia	</v>
      <v xml:space="preserve">CC-BY-SA	</v>
      <v xml:space="preserve">http://en.wikipedia.org/wiki/Rio_Grande_do_Sul	</v>
      <v xml:space="preserve">http://creativecommons.org/licenses/by-sa/3.0/	</v>
    </spb>
    <spb s="1">
      <v>69</v>
      <v>69</v>
      <v>69</v>
      <v>69</v>
      <v>69</v>
      <v>70</v>
      <v>69</v>
      <v>69</v>
      <v>69</v>
    </spb>
    <spb s="0">
      <v xml:space="preserve">Wikipedia	</v>
      <v xml:space="preserve">CC BY-SA 3.0	</v>
      <v xml:space="preserve">https://en.wikipedia.org/wiki/Rio_de_Janeiro_(state)	</v>
      <v xml:space="preserve">https://creativecommons.org/licenses/by-sa/3.0	</v>
    </spb>
    <spb s="0">
      <v xml:space="preserve">Wikipedia	</v>
      <v xml:space="preserve">CC-BY-SA	</v>
      <v xml:space="preserve">http://en.wikipedia.org/wiki/Rio_de_Janeiro_(state)	</v>
      <v xml:space="preserve">http://creativecommons.org/licenses/by-sa/3.0/	</v>
    </spb>
    <spb s="1">
      <v>72</v>
      <v>72</v>
      <v>72</v>
      <v>72</v>
      <v>72</v>
      <v>73</v>
      <v>72</v>
      <v>72</v>
      <v>72</v>
    </spb>
    <spb s="0">
      <v xml:space="preserve">Wikipedia	</v>
      <v xml:space="preserve">CC BY-SA 3.0	</v>
      <v xml:space="preserve">https://en.wikipedia.org/wiki/Santa_Catarina_(state)	</v>
      <v xml:space="preserve">https://creativecommons.org/licenses/by-sa/3.0	</v>
    </spb>
    <spb s="0">
      <v xml:space="preserve">Wikipedia	</v>
      <v xml:space="preserve">CC-BY-SA	</v>
      <v xml:space="preserve">http://en.wikipedia.org/wiki/Santa_Catarina_(state)	</v>
      <v xml:space="preserve">http://creativecommons.org/licenses/by-sa/3.0/	</v>
    </spb>
    <spb s="1">
      <v>75</v>
      <v>75</v>
      <v>75</v>
      <v>75</v>
      <v>75</v>
      <v>76</v>
      <v>75</v>
      <v>75</v>
      <v>75</v>
    </spb>
    <spb s="0">
      <v xml:space="preserve">Wikipedia	</v>
      <v xml:space="preserve">CC BY-SA 3.0	</v>
      <v xml:space="preserve">https://en.wikipedia.org/wiki/Federal_District_(Brazil)	</v>
      <v xml:space="preserve">https://creativecommons.org/licenses/by-sa/3.0	</v>
    </spb>
    <spb s="0">
      <v xml:space="preserve">Wikipedia	</v>
      <v xml:space="preserve">CC-BY-SA	</v>
      <v xml:space="preserve">http://en.wikipedia.org/wiki/Federal_District_(Brazil)	</v>
      <v xml:space="preserve">http://creativecommons.org/licenses/by-sa/3.0/	</v>
    </spb>
    <spb s="1">
      <v>78</v>
      <v>78</v>
      <v>78</v>
      <v>78</v>
      <v>78</v>
      <v>79</v>
      <v>78</v>
      <v>78</v>
      <v>78</v>
    </spb>
    <spb s="2">
      <v>2</v>
      <v>Name</v>
      <v>LearnMoreOnLink</v>
    </spb>
    <spb s="7">
      <v>square km</v>
      <v>2017</v>
    </spb>
    <spb s="0">
      <v xml:space="preserve">Wikipedia	</v>
      <v xml:space="preserve">CC BY-SA 3.0	</v>
      <v xml:space="preserve">https://en.wikipedia.org/wiki/Minas_Gerais	</v>
      <v xml:space="preserve">https://creativecommons.org/licenses/by-sa/3.0	</v>
    </spb>
    <spb s="0">
      <v xml:space="preserve">Wikipedia	</v>
      <v xml:space="preserve">CC-BY-SA	</v>
      <v xml:space="preserve">http://en.wikipedia.org/wiki/Minas_Gerais	</v>
      <v xml:space="preserve">http://creativecommons.org/licenses/by-sa/3.0/	</v>
    </spb>
    <spb s="1">
      <v>83</v>
      <v>83</v>
      <v>83</v>
      <v>83</v>
      <v>83</v>
      <v>84</v>
      <v>83</v>
      <v>83</v>
      <v>83</v>
    </spb>
    <spb s="0">
      <v xml:space="preserve">Wikipedia	</v>
      <v xml:space="preserve">CC BY-SA 3.0	</v>
      <v xml:space="preserve">https://en.wikipedia.org/wiki/Paran%C3%A1_(state)	</v>
      <v xml:space="preserve">https://creativecommons.org/licenses/by-sa/3.0	</v>
    </spb>
    <spb s="0">
      <v xml:space="preserve">Wikipedia	</v>
      <v xml:space="preserve">CC-BY-SA	</v>
      <v xml:space="preserve">http://en.wikipedia.org/wiki/Paraná_(state)	</v>
      <v xml:space="preserve">http://creativecommons.org/licenses/by-sa/3.0/	</v>
    </spb>
    <spb s="1">
      <v>86</v>
      <v>86</v>
      <v>86</v>
      <v>86</v>
      <v>86</v>
      <v>87</v>
      <v>86</v>
      <v>86</v>
      <v>86</v>
    </spb>
    <spb s="0">
      <v xml:space="preserve">Wikipedia	</v>
      <v xml:space="preserve">CC BY-SA 3.0	</v>
      <v xml:space="preserve">https://en.wikipedia.org/wiki/S%C3%A3o_Paulo_(state)	</v>
      <v xml:space="preserve">https://creativecommons.org/licenses/by-sa/3.0	</v>
    </spb>
    <spb s="0">
      <v xml:space="preserve">Wikipedia	</v>
      <v xml:space="preserve">CC-BY-SA	</v>
      <v xml:space="preserve">http://en.wikipedia.org/wiki/São_Paulo_(state)	</v>
      <v xml:space="preserve">http://creativecommons.org/licenses/by-sa/3.0/	</v>
    </spb>
    <spb s="1">
      <v>89</v>
      <v>89</v>
      <v>89</v>
      <v>89</v>
      <v>89</v>
      <v>90</v>
      <v>89</v>
      <v>89</v>
      <v>89</v>
    </spb>
    <spb s="7">
      <v>square km</v>
      <v>2023</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Area" t="spb"/>
    <k n="Name" t="spb"/>
    <k n="Population" t="spb"/>
    <k n="UniqueName" t="spb"/>
    <k n="Description" t="spb"/>
    <k n="Abbrevia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TitleField" t="b"/>
    <rPr n="IsHeroField" t="b"/>
    <rPr n="NumberFormat" t="s"/>
  </richProperties>
  <richStyles>
    <rSty>
      <rpv i="0">1</rpv>
    </rSty>
    <rSty>
      <rpv i="1">1</rpv>
    </rSty>
    <rSty dxfid="0">
      <rpv i="2">#,##0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33C7E7-E77B-40CF-85AC-F1C8714C3E46}" sourceName="Year ">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xr10:uid="{3487B279-3707-4E1B-B442-EB639A9A8216}" cache="Slicer_Year" caption="Year "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B07A9F-DD99-4642-84B4-D38A2832B48E}" name="Table1" displayName="Table1" ref="A1:F25" totalsRowShown="0">
  <autoFilter ref="A1:F25" xr:uid="{18B07A9F-DD99-4642-84B4-D38A2832B48E}"/>
  <tableColumns count="6">
    <tableColumn id="1" xr3:uid="{64284FC7-9F72-48BB-844E-6B3E38612098}" name="Year "/>
    <tableColumn id="2" xr3:uid="{386EA0EF-70B6-474C-AF98-2EFF6E8A7FAD}" name="Month Number"/>
    <tableColumn id="3" xr3:uid="{B0A4D0E9-5723-40BD-9275-CEE8734CCDD2}" name="Month Name"/>
    <tableColumn id="4" xr3:uid="{7DF3422C-F270-4BE1-8B14-41F5DF06DA10}" name="Month and Year" dataDxfId="2" dataCellStyle="Comma">
      <calculatedColumnFormula>CONCATENATE(Table1[[#This Row],[Month Name]]," ","-"," ",Table1[[#This Row],[Year ]])</calculatedColumnFormula>
    </tableColumn>
    <tableColumn id="5" xr3:uid="{1EE5133D-FBDF-4609-9DD5-A1A296972DEE}" name="Total Sales" dataDxfId="1" dataCellStyle="Comma"/>
    <tableColumn id="6" xr3:uid="{11847A0D-0949-4134-BA7C-0E9737091D15}" name="Total Orders" dataDxfId="0"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084BB-98B8-471C-A63A-22504C084A01}">
  <dimension ref="A1:B25"/>
  <sheetViews>
    <sheetView topLeftCell="D8" zoomScaleNormal="100" workbookViewId="0">
      <selection activeCell="U15" sqref="U15"/>
    </sheetView>
  </sheetViews>
  <sheetFormatPr defaultRowHeight="14.4" x14ac:dyDescent="0.3"/>
  <cols>
    <col min="1" max="1" width="10.21875" bestFit="1" customWidth="1"/>
    <col min="2" max="2" width="10.77734375" bestFit="1" customWidth="1"/>
  </cols>
  <sheetData>
    <row r="1" spans="1:2" x14ac:dyDescent="0.3">
      <c r="A1" t="s">
        <v>0</v>
      </c>
      <c r="B1" t="s">
        <v>1</v>
      </c>
    </row>
    <row r="2" spans="1:2" x14ac:dyDescent="0.3">
      <c r="A2">
        <v>0</v>
      </c>
      <c r="B2">
        <v>2394</v>
      </c>
    </row>
    <row r="3" spans="1:2" x14ac:dyDescent="0.3">
      <c r="A3">
        <v>1</v>
      </c>
      <c r="B3">
        <v>1170</v>
      </c>
    </row>
    <row r="4" spans="1:2" x14ac:dyDescent="0.3">
      <c r="A4">
        <v>2</v>
      </c>
      <c r="B4">
        <v>510</v>
      </c>
    </row>
    <row r="5" spans="1:2" x14ac:dyDescent="0.3">
      <c r="A5">
        <v>3</v>
      </c>
      <c r="B5">
        <v>272</v>
      </c>
    </row>
    <row r="6" spans="1:2" x14ac:dyDescent="0.3">
      <c r="A6">
        <v>4</v>
      </c>
      <c r="B6">
        <v>206</v>
      </c>
    </row>
    <row r="7" spans="1:2" x14ac:dyDescent="0.3">
      <c r="A7">
        <v>5</v>
      </c>
      <c r="B7">
        <v>188</v>
      </c>
    </row>
    <row r="8" spans="1:2" x14ac:dyDescent="0.3">
      <c r="A8">
        <v>6</v>
      </c>
      <c r="B8">
        <v>502</v>
      </c>
    </row>
    <row r="9" spans="1:2" x14ac:dyDescent="0.3">
      <c r="A9">
        <v>7</v>
      </c>
      <c r="B9">
        <v>1231</v>
      </c>
    </row>
    <row r="10" spans="1:2" x14ac:dyDescent="0.3">
      <c r="A10">
        <v>8</v>
      </c>
      <c r="B10">
        <v>2967</v>
      </c>
    </row>
    <row r="11" spans="1:2" x14ac:dyDescent="0.3">
      <c r="A11">
        <v>9</v>
      </c>
      <c r="B11">
        <v>4785</v>
      </c>
    </row>
    <row r="12" spans="1:2" x14ac:dyDescent="0.3">
      <c r="A12">
        <v>10</v>
      </c>
      <c r="B12">
        <v>6177</v>
      </c>
    </row>
    <row r="13" spans="1:2" x14ac:dyDescent="0.3">
      <c r="A13">
        <v>11</v>
      </c>
      <c r="B13">
        <v>6578</v>
      </c>
    </row>
    <row r="14" spans="1:2" x14ac:dyDescent="0.3">
      <c r="A14">
        <v>12</v>
      </c>
      <c r="B14">
        <v>5995</v>
      </c>
    </row>
    <row r="15" spans="1:2" x14ac:dyDescent="0.3">
      <c r="A15">
        <v>13</v>
      </c>
      <c r="B15">
        <v>6518</v>
      </c>
    </row>
    <row r="16" spans="1:2" x14ac:dyDescent="0.3">
      <c r="A16">
        <v>14</v>
      </c>
      <c r="B16">
        <v>6569</v>
      </c>
    </row>
    <row r="17" spans="1:2" x14ac:dyDescent="0.3">
      <c r="A17">
        <v>15</v>
      </c>
      <c r="B17">
        <v>6454</v>
      </c>
    </row>
    <row r="18" spans="1:2" x14ac:dyDescent="0.3">
      <c r="A18">
        <v>16</v>
      </c>
      <c r="B18">
        <v>6675</v>
      </c>
    </row>
    <row r="19" spans="1:2" x14ac:dyDescent="0.3">
      <c r="A19">
        <v>17</v>
      </c>
      <c r="B19">
        <v>6150</v>
      </c>
    </row>
    <row r="20" spans="1:2" x14ac:dyDescent="0.3">
      <c r="A20">
        <v>18</v>
      </c>
      <c r="B20">
        <v>5769</v>
      </c>
    </row>
    <row r="21" spans="1:2" x14ac:dyDescent="0.3">
      <c r="A21">
        <v>19</v>
      </c>
      <c r="B21">
        <v>5982</v>
      </c>
    </row>
    <row r="22" spans="1:2" x14ac:dyDescent="0.3">
      <c r="A22">
        <v>20</v>
      </c>
      <c r="B22">
        <v>6193</v>
      </c>
    </row>
    <row r="23" spans="1:2" x14ac:dyDescent="0.3">
      <c r="A23">
        <v>21</v>
      </c>
      <c r="B23">
        <v>6217</v>
      </c>
    </row>
    <row r="24" spans="1:2" x14ac:dyDescent="0.3">
      <c r="A24">
        <v>22</v>
      </c>
      <c r="B24">
        <v>5816</v>
      </c>
    </row>
    <row r="25" spans="1:2" x14ac:dyDescent="0.3">
      <c r="A25">
        <v>23</v>
      </c>
      <c r="B25">
        <v>4123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9356C-A6A3-4619-A411-34DF2B158C1B}">
  <dimension ref="A1:C8"/>
  <sheetViews>
    <sheetView zoomScale="115" zoomScaleNormal="115" workbookViewId="0">
      <selection activeCell="J4" sqref="J4"/>
    </sheetView>
  </sheetViews>
  <sheetFormatPr defaultRowHeight="14.4" x14ac:dyDescent="0.3"/>
  <cols>
    <col min="1" max="1" width="10.77734375" bestFit="1" customWidth="1"/>
    <col min="2" max="2" width="10.88671875" bestFit="1" customWidth="1"/>
    <col min="3" max="3" width="10.77734375" bestFit="1" customWidth="1"/>
  </cols>
  <sheetData>
    <row r="1" spans="1:3" x14ac:dyDescent="0.3">
      <c r="A1" t="s">
        <v>9</v>
      </c>
      <c r="B1" t="s">
        <v>10</v>
      </c>
      <c r="C1" t="s">
        <v>1</v>
      </c>
    </row>
    <row r="2" spans="1:3" x14ac:dyDescent="0.3">
      <c r="A2" t="s">
        <v>2</v>
      </c>
      <c r="B2">
        <v>1</v>
      </c>
      <c r="C2" s="2">
        <v>11960</v>
      </c>
    </row>
    <row r="3" spans="1:3" x14ac:dyDescent="0.3">
      <c r="A3" t="s">
        <v>3</v>
      </c>
      <c r="B3">
        <v>2</v>
      </c>
      <c r="C3" s="2">
        <v>16196</v>
      </c>
    </row>
    <row r="4" spans="1:3" x14ac:dyDescent="0.3">
      <c r="A4" t="s">
        <v>4</v>
      </c>
      <c r="B4">
        <v>3</v>
      </c>
      <c r="C4" s="2">
        <v>15963</v>
      </c>
    </row>
    <row r="5" spans="1:3" x14ac:dyDescent="0.3">
      <c r="A5" t="s">
        <v>5</v>
      </c>
      <c r="B5">
        <v>4</v>
      </c>
      <c r="C5" s="2">
        <v>15552</v>
      </c>
    </row>
    <row r="6" spans="1:3" x14ac:dyDescent="0.3">
      <c r="A6" t="s">
        <v>6</v>
      </c>
      <c r="B6">
        <v>5</v>
      </c>
      <c r="C6" s="2">
        <v>14761</v>
      </c>
    </row>
    <row r="7" spans="1:3" x14ac:dyDescent="0.3">
      <c r="A7" t="s">
        <v>7</v>
      </c>
      <c r="B7">
        <v>6</v>
      </c>
      <c r="C7" s="2">
        <v>14122</v>
      </c>
    </row>
    <row r="8" spans="1:3" x14ac:dyDescent="0.3">
      <c r="A8" t="s">
        <v>8</v>
      </c>
      <c r="B8">
        <v>7</v>
      </c>
      <c r="C8" s="2">
        <v>10887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D1064-30A1-480B-8DC0-71F64F6A754E}">
  <dimension ref="A1:D11"/>
  <sheetViews>
    <sheetView topLeftCell="D6" zoomScale="160" zoomScaleNormal="160" workbookViewId="0">
      <selection activeCell="N11" sqref="N11"/>
    </sheetView>
  </sheetViews>
  <sheetFormatPr defaultRowHeight="14.4" x14ac:dyDescent="0.3"/>
  <cols>
    <col min="1" max="1" width="13.44140625" bestFit="1" customWidth="1"/>
    <col min="2" max="2" width="15.88671875" bestFit="1" customWidth="1"/>
    <col min="3" max="3" width="10.77734375" bestFit="1" customWidth="1"/>
    <col min="4" max="4" width="13.77734375" bestFit="1" customWidth="1"/>
  </cols>
  <sheetData>
    <row r="1" spans="1:4" x14ac:dyDescent="0.3">
      <c r="A1" t="s">
        <v>21</v>
      </c>
      <c r="B1" t="s">
        <v>22</v>
      </c>
      <c r="C1" t="s">
        <v>1</v>
      </c>
      <c r="D1" t="s">
        <v>23</v>
      </c>
    </row>
    <row r="2" spans="1:4" x14ac:dyDescent="0.3">
      <c r="A2" t="s">
        <v>11</v>
      </c>
      <c r="B2" s="2">
        <v>40301</v>
      </c>
      <c r="C2">
        <v>43622</v>
      </c>
      <c r="D2">
        <v>137.5</v>
      </c>
    </row>
    <row r="3" spans="1:4" x14ac:dyDescent="0.3">
      <c r="A3" t="s">
        <v>12</v>
      </c>
      <c r="B3" s="2">
        <v>12384</v>
      </c>
      <c r="C3">
        <v>13527</v>
      </c>
      <c r="D3">
        <v>158.53</v>
      </c>
    </row>
    <row r="4" spans="1:4" x14ac:dyDescent="0.3">
      <c r="A4" t="s">
        <v>13</v>
      </c>
      <c r="B4" s="2">
        <v>11259</v>
      </c>
      <c r="C4">
        <v>12102</v>
      </c>
      <c r="D4">
        <v>154.71</v>
      </c>
    </row>
    <row r="5" spans="1:4" x14ac:dyDescent="0.3">
      <c r="A5" t="s">
        <v>14</v>
      </c>
      <c r="B5" s="2">
        <v>5277</v>
      </c>
      <c r="C5">
        <v>5668</v>
      </c>
      <c r="D5">
        <v>157.18</v>
      </c>
    </row>
    <row r="6" spans="1:4" x14ac:dyDescent="0.3">
      <c r="A6" t="s">
        <v>15</v>
      </c>
      <c r="B6" s="2">
        <v>4882</v>
      </c>
      <c r="C6">
        <v>5262</v>
      </c>
      <c r="D6">
        <v>154.15</v>
      </c>
    </row>
    <row r="7" spans="1:4" x14ac:dyDescent="0.3">
      <c r="A7" t="s">
        <v>16</v>
      </c>
      <c r="B7" s="2">
        <v>3534</v>
      </c>
      <c r="C7">
        <v>3754</v>
      </c>
      <c r="D7">
        <v>165.98</v>
      </c>
    </row>
    <row r="8" spans="1:4" x14ac:dyDescent="0.3">
      <c r="A8" t="s">
        <v>17</v>
      </c>
      <c r="B8" s="2">
        <v>3277</v>
      </c>
      <c r="C8">
        <v>3610</v>
      </c>
      <c r="D8">
        <v>170.82</v>
      </c>
    </row>
    <row r="9" spans="1:4" x14ac:dyDescent="0.3">
      <c r="A9" t="s">
        <v>18</v>
      </c>
      <c r="B9" s="2">
        <v>2075</v>
      </c>
      <c r="C9">
        <v>2204</v>
      </c>
      <c r="D9">
        <v>161.13</v>
      </c>
    </row>
    <row r="10" spans="1:4" x14ac:dyDescent="0.3">
      <c r="A10" t="s">
        <v>19</v>
      </c>
      <c r="B10" s="2">
        <v>1952</v>
      </c>
      <c r="C10">
        <v>2112</v>
      </c>
      <c r="D10">
        <v>165.76</v>
      </c>
    </row>
    <row r="11" spans="1:4" x14ac:dyDescent="0.3">
      <c r="A11" t="s">
        <v>20</v>
      </c>
      <c r="B11" s="2">
        <v>1964</v>
      </c>
      <c r="C11">
        <v>2107</v>
      </c>
      <c r="D11">
        <v>154.71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BBA1F-FB88-46CA-849B-9D9810C95F76}">
  <dimension ref="A1:C6"/>
  <sheetViews>
    <sheetView topLeftCell="C7" zoomScale="160" zoomScaleNormal="160" workbookViewId="0">
      <selection activeCell="M13" sqref="M13"/>
    </sheetView>
  </sheetViews>
  <sheetFormatPr defaultRowHeight="14.4" x14ac:dyDescent="0.3"/>
  <cols>
    <col min="1" max="1" width="11.6640625" bestFit="1" customWidth="1"/>
    <col min="2" max="2" width="14.77734375" bestFit="1" customWidth="1"/>
    <col min="3" max="3" width="10.77734375" bestFit="1" customWidth="1"/>
  </cols>
  <sheetData>
    <row r="1" spans="1:3" x14ac:dyDescent="0.3">
      <c r="A1" t="s">
        <v>24</v>
      </c>
      <c r="B1" t="s">
        <v>25</v>
      </c>
      <c r="C1" t="s">
        <v>1</v>
      </c>
    </row>
    <row r="2" spans="1:3" x14ac:dyDescent="0.3">
      <c r="A2">
        <v>5</v>
      </c>
      <c r="B2">
        <v>10.63</v>
      </c>
      <c r="C2">
        <v>114118</v>
      </c>
    </row>
    <row r="3" spans="1:3" x14ac:dyDescent="0.3">
      <c r="A3">
        <v>4</v>
      </c>
      <c r="B3">
        <v>12.25</v>
      </c>
      <c r="C3">
        <v>37974</v>
      </c>
    </row>
    <row r="4" spans="1:3" x14ac:dyDescent="0.3">
      <c r="A4">
        <v>3</v>
      </c>
      <c r="B4">
        <v>14.2</v>
      </c>
      <c r="C4">
        <v>15924</v>
      </c>
    </row>
    <row r="5" spans="1:3" x14ac:dyDescent="0.3">
      <c r="A5">
        <v>2</v>
      </c>
      <c r="B5">
        <v>16.61</v>
      </c>
      <c r="C5">
        <v>5882</v>
      </c>
    </row>
    <row r="6" spans="1:3" x14ac:dyDescent="0.3">
      <c r="A6">
        <v>1</v>
      </c>
      <c r="B6">
        <v>21.25</v>
      </c>
      <c r="C6">
        <v>18818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01BD-D0D6-44FD-A0DA-0995DB9E0FA8}">
  <dimension ref="A1:C4"/>
  <sheetViews>
    <sheetView topLeftCell="A5" zoomScale="130" zoomScaleNormal="130" workbookViewId="0">
      <selection activeCell="M18" sqref="M18"/>
    </sheetView>
  </sheetViews>
  <sheetFormatPr defaultRowHeight="14.4" x14ac:dyDescent="0.3"/>
  <cols>
    <col min="1" max="1" width="17.6640625" bestFit="1" customWidth="1"/>
    <col min="2" max="2" width="18.77734375" bestFit="1" customWidth="1"/>
    <col min="3" max="3" width="10.21875" bestFit="1" customWidth="1"/>
  </cols>
  <sheetData>
    <row r="1" spans="1:3" x14ac:dyDescent="0.3">
      <c r="A1" t="s">
        <v>29</v>
      </c>
      <c r="B1" t="s">
        <v>30</v>
      </c>
      <c r="C1" t="s">
        <v>31</v>
      </c>
    </row>
    <row r="2" spans="1:3" x14ac:dyDescent="0.3">
      <c r="A2" t="s">
        <v>26</v>
      </c>
      <c r="B2">
        <v>93099</v>
      </c>
      <c r="C2">
        <v>96.88</v>
      </c>
    </row>
    <row r="3" spans="1:3" x14ac:dyDescent="0.3">
      <c r="A3" t="s">
        <v>27</v>
      </c>
      <c r="B3">
        <v>2948</v>
      </c>
      <c r="C3">
        <v>3.07</v>
      </c>
    </row>
    <row r="4" spans="1:3" x14ac:dyDescent="0.3">
      <c r="A4" t="s">
        <v>28</v>
      </c>
      <c r="B4">
        <v>49</v>
      </c>
      <c r="C4">
        <v>0.05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B9B8-33DF-499C-83F0-5ECE9B6B0FC3}">
  <dimension ref="A1"/>
  <sheetViews>
    <sheetView showGridLines="0" zoomScale="55" zoomScaleNormal="55" workbookViewId="0">
      <selection activeCell="W51" sqref="W51"/>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6596-4EE5-466F-9B33-D12EB2DB9EF0}">
  <dimension ref="A1:F25"/>
  <sheetViews>
    <sheetView topLeftCell="E16" zoomScale="130" zoomScaleNormal="130" workbookViewId="0">
      <selection activeCell="M35" sqref="M35"/>
    </sheetView>
  </sheetViews>
  <sheetFormatPr defaultRowHeight="14.4" x14ac:dyDescent="0.3"/>
  <cols>
    <col min="1" max="1" width="7.21875" bestFit="1" customWidth="1"/>
    <col min="2" max="2" width="15.5546875" bestFit="1" customWidth="1"/>
    <col min="3" max="3" width="13.6640625" bestFit="1" customWidth="1"/>
    <col min="4" max="4" width="13.109375" bestFit="1" customWidth="1"/>
    <col min="5" max="5" width="13.33203125" bestFit="1" customWidth="1"/>
  </cols>
  <sheetData>
    <row r="1" spans="1:6" x14ac:dyDescent="0.3">
      <c r="A1" t="s">
        <v>44</v>
      </c>
      <c r="B1" t="s">
        <v>45</v>
      </c>
      <c r="C1" t="s">
        <v>46</v>
      </c>
      <c r="D1" t="s">
        <v>134</v>
      </c>
      <c r="E1" t="s">
        <v>47</v>
      </c>
      <c r="F1" t="s">
        <v>1</v>
      </c>
    </row>
    <row r="2" spans="1:6" x14ac:dyDescent="0.3">
      <c r="A2">
        <v>2016</v>
      </c>
      <c r="B2">
        <v>9</v>
      </c>
      <c r="C2" t="s">
        <v>32</v>
      </c>
      <c r="D2" s="1" t="str">
        <f>CONCATENATE(Table1[[#This Row],[Month Name]]," ","-"," ",Table1[[#This Row],[Year ]])</f>
        <v>September - 2016</v>
      </c>
      <c r="E2" s="2">
        <v>267.36</v>
      </c>
      <c r="F2" s="2">
        <v>3</v>
      </c>
    </row>
    <row r="3" spans="1:6" x14ac:dyDescent="0.3">
      <c r="A3">
        <v>2016</v>
      </c>
      <c r="B3">
        <v>10</v>
      </c>
      <c r="C3" t="s">
        <v>33</v>
      </c>
      <c r="D3" s="1" t="str">
        <f>CONCATENATE(Table1[[#This Row],[Month Name]]," ","-"," ",Table1[[#This Row],[Year ]])</f>
        <v>October - 2016</v>
      </c>
      <c r="E3" s="2">
        <v>49507.66</v>
      </c>
      <c r="F3" s="2">
        <v>308</v>
      </c>
    </row>
    <row r="4" spans="1:6" x14ac:dyDescent="0.3">
      <c r="A4">
        <v>2016</v>
      </c>
      <c r="B4">
        <v>12</v>
      </c>
      <c r="C4" t="s">
        <v>34</v>
      </c>
      <c r="D4" s="1" t="str">
        <f>CONCATENATE(Table1[[#This Row],[Month Name]]," ","-"," ",Table1[[#This Row],[Year ]])</f>
        <v>December - 2016</v>
      </c>
      <c r="E4" s="2">
        <v>10.9</v>
      </c>
      <c r="F4" s="2">
        <v>1</v>
      </c>
    </row>
    <row r="5" spans="1:6" x14ac:dyDescent="0.3">
      <c r="A5">
        <v>2017</v>
      </c>
      <c r="B5">
        <v>1</v>
      </c>
      <c r="C5" t="s">
        <v>35</v>
      </c>
      <c r="D5" s="1" t="str">
        <f>CONCATENATE(Table1[[#This Row],[Month Name]]," ","-"," ",Table1[[#This Row],[Year ]])</f>
        <v>January - 2017</v>
      </c>
      <c r="E5" s="2">
        <v>120312.87</v>
      </c>
      <c r="F5" s="2">
        <v>789</v>
      </c>
    </row>
    <row r="6" spans="1:6" x14ac:dyDescent="0.3">
      <c r="A6">
        <v>2017</v>
      </c>
      <c r="B6">
        <v>2</v>
      </c>
      <c r="C6" t="s">
        <v>36</v>
      </c>
      <c r="D6" s="1" t="str">
        <f>CONCATENATE(Table1[[#This Row],[Month Name]]," ","-"," ",Table1[[#This Row],[Year ]])</f>
        <v>February - 2017</v>
      </c>
      <c r="E6" s="2">
        <v>247303.02</v>
      </c>
      <c r="F6" s="2">
        <v>1733</v>
      </c>
    </row>
    <row r="7" spans="1:6" x14ac:dyDescent="0.3">
      <c r="A7">
        <v>2017</v>
      </c>
      <c r="B7">
        <v>3</v>
      </c>
      <c r="C7" t="s">
        <v>37</v>
      </c>
      <c r="D7" s="1" t="str">
        <f>CONCATENATE(Table1[[#This Row],[Month Name]]," ","-"," ",Table1[[#This Row],[Year ]])</f>
        <v>March - 2017</v>
      </c>
      <c r="E7" s="2">
        <v>374344.3</v>
      </c>
      <c r="F7" s="2">
        <v>2641</v>
      </c>
    </row>
    <row r="8" spans="1:6" x14ac:dyDescent="0.3">
      <c r="A8">
        <v>2017</v>
      </c>
      <c r="B8">
        <v>4</v>
      </c>
      <c r="C8" t="s">
        <v>38</v>
      </c>
      <c r="D8" s="1" t="str">
        <f>CONCATENATE(Table1[[#This Row],[Month Name]]," ","-"," ",Table1[[#This Row],[Year ]])</f>
        <v>April - 2017</v>
      </c>
      <c r="E8" s="2">
        <v>359927.23</v>
      </c>
      <c r="F8" s="2">
        <v>2391</v>
      </c>
    </row>
    <row r="9" spans="1:6" x14ac:dyDescent="0.3">
      <c r="A9">
        <v>2017</v>
      </c>
      <c r="B9">
        <v>5</v>
      </c>
      <c r="C9" t="s">
        <v>39</v>
      </c>
      <c r="D9" s="1" t="str">
        <f>CONCATENATE(Table1[[#This Row],[Month Name]]," ","-"," ",Table1[[#This Row],[Year ]])</f>
        <v>May - 2017</v>
      </c>
      <c r="E9" s="2">
        <v>506071.14</v>
      </c>
      <c r="F9" s="2">
        <v>3660</v>
      </c>
    </row>
    <row r="10" spans="1:6" x14ac:dyDescent="0.3">
      <c r="A10">
        <v>2017</v>
      </c>
      <c r="B10">
        <v>6</v>
      </c>
      <c r="C10" t="s">
        <v>40</v>
      </c>
      <c r="D10" s="1" t="str">
        <f>CONCATENATE(Table1[[#This Row],[Month Name]]," ","-"," ",Table1[[#This Row],[Year ]])</f>
        <v>June - 2017</v>
      </c>
      <c r="E10" s="2">
        <v>433038.6</v>
      </c>
      <c r="F10" s="2">
        <v>3217</v>
      </c>
    </row>
    <row r="11" spans="1:6" x14ac:dyDescent="0.3">
      <c r="A11">
        <v>2017</v>
      </c>
      <c r="B11">
        <v>7</v>
      </c>
      <c r="C11" t="s">
        <v>41</v>
      </c>
      <c r="D11" s="1" t="str">
        <f>CONCATENATE(Table1[[#This Row],[Month Name]]," ","-"," ",Table1[[#This Row],[Year ]])</f>
        <v>July - 2017</v>
      </c>
      <c r="E11" s="2">
        <v>498031.48</v>
      </c>
      <c r="F11" s="2">
        <v>3969</v>
      </c>
    </row>
    <row r="12" spans="1:6" x14ac:dyDescent="0.3">
      <c r="A12">
        <v>2017</v>
      </c>
      <c r="B12">
        <v>8</v>
      </c>
      <c r="C12" t="s">
        <v>42</v>
      </c>
      <c r="D12" s="1" t="str">
        <f>CONCATENATE(Table1[[#This Row],[Month Name]]," ","-"," ",Table1[[#This Row],[Year ]])</f>
        <v>August - 2017</v>
      </c>
      <c r="E12" s="2">
        <v>573971.68000000005</v>
      </c>
      <c r="F12" s="2">
        <v>4293</v>
      </c>
    </row>
    <row r="13" spans="1:6" x14ac:dyDescent="0.3">
      <c r="A13">
        <v>2017</v>
      </c>
      <c r="B13">
        <v>9</v>
      </c>
      <c r="C13" t="s">
        <v>32</v>
      </c>
      <c r="D13" s="1" t="str">
        <f>CONCATENATE(Table1[[#This Row],[Month Name]]," ","-"," ",Table1[[#This Row],[Year ]])</f>
        <v>September - 2017</v>
      </c>
      <c r="E13" s="2">
        <v>624401.68999999994</v>
      </c>
      <c r="F13" s="2">
        <v>4243</v>
      </c>
    </row>
    <row r="14" spans="1:6" x14ac:dyDescent="0.3">
      <c r="A14">
        <v>2017</v>
      </c>
      <c r="B14">
        <v>10</v>
      </c>
      <c r="C14" t="s">
        <v>33</v>
      </c>
      <c r="D14" s="1" t="str">
        <f>CONCATENATE(Table1[[#This Row],[Month Name]]," ","-"," ",Table1[[#This Row],[Year ]])</f>
        <v>October - 2017</v>
      </c>
      <c r="E14" s="2">
        <v>664219.43000000005</v>
      </c>
      <c r="F14" s="2">
        <v>4568</v>
      </c>
    </row>
    <row r="15" spans="1:6" x14ac:dyDescent="0.3">
      <c r="A15">
        <v>2017</v>
      </c>
      <c r="B15">
        <v>11</v>
      </c>
      <c r="C15" t="s">
        <v>43</v>
      </c>
      <c r="D15" s="1" t="str">
        <f>CONCATENATE(Table1[[#This Row],[Month Name]]," ","-"," ",Table1[[#This Row],[Year ]])</f>
        <v>November - 2017</v>
      </c>
      <c r="E15" s="2">
        <v>1010271.37</v>
      </c>
      <c r="F15" s="2">
        <v>7451</v>
      </c>
    </row>
    <row r="16" spans="1:6" x14ac:dyDescent="0.3">
      <c r="A16">
        <v>2017</v>
      </c>
      <c r="B16">
        <v>12</v>
      </c>
      <c r="C16" t="s">
        <v>34</v>
      </c>
      <c r="D16" s="1" t="str">
        <f>CONCATENATE(Table1[[#This Row],[Month Name]]," ","-"," ",Table1[[#This Row],[Year ]])</f>
        <v>December - 2017</v>
      </c>
      <c r="E16" s="2">
        <v>743914.17</v>
      </c>
      <c r="F16" s="2">
        <v>5624</v>
      </c>
    </row>
    <row r="17" spans="1:6" x14ac:dyDescent="0.3">
      <c r="A17">
        <v>2018</v>
      </c>
      <c r="B17">
        <v>1</v>
      </c>
      <c r="C17" t="s">
        <v>35</v>
      </c>
      <c r="D17" s="1" t="str">
        <f>CONCATENATE(Table1[[#This Row],[Month Name]]," ","-"," ",Table1[[#This Row],[Year ]])</f>
        <v>January - 2018</v>
      </c>
      <c r="E17" s="2">
        <v>950030.36</v>
      </c>
      <c r="F17" s="2">
        <v>7220</v>
      </c>
    </row>
    <row r="18" spans="1:6" x14ac:dyDescent="0.3">
      <c r="A18">
        <v>2018</v>
      </c>
      <c r="B18">
        <v>2</v>
      </c>
      <c r="C18" t="s">
        <v>36</v>
      </c>
      <c r="D18" s="1" t="str">
        <f>CONCATENATE(Table1[[#This Row],[Month Name]]," ","-"," ",Table1[[#This Row],[Year ]])</f>
        <v>February - 2018</v>
      </c>
      <c r="E18" s="2">
        <v>844178.71</v>
      </c>
      <c r="F18" s="2">
        <v>6694</v>
      </c>
    </row>
    <row r="19" spans="1:6" x14ac:dyDescent="0.3">
      <c r="A19">
        <v>2018</v>
      </c>
      <c r="B19">
        <v>3</v>
      </c>
      <c r="C19" t="s">
        <v>37</v>
      </c>
      <c r="D19" s="1" t="str">
        <f>CONCATENATE(Table1[[#This Row],[Month Name]]," ","-"," ",Table1[[#This Row],[Year ]])</f>
        <v>March - 2018</v>
      </c>
      <c r="E19" s="2">
        <v>983213.44</v>
      </c>
      <c r="F19" s="2">
        <v>7188</v>
      </c>
    </row>
    <row r="20" spans="1:6" x14ac:dyDescent="0.3">
      <c r="A20">
        <v>2018</v>
      </c>
      <c r="B20">
        <v>4</v>
      </c>
      <c r="C20" t="s">
        <v>38</v>
      </c>
      <c r="D20" s="1" t="str">
        <f>CONCATENATE(Table1[[#This Row],[Month Name]]," ","-"," ",Table1[[#This Row],[Year ]])</f>
        <v>April - 2018</v>
      </c>
      <c r="E20" s="2">
        <v>996647.75</v>
      </c>
      <c r="F20" s="2">
        <v>6934</v>
      </c>
    </row>
    <row r="21" spans="1:6" x14ac:dyDescent="0.3">
      <c r="A21">
        <v>2018</v>
      </c>
      <c r="B21">
        <v>5</v>
      </c>
      <c r="C21" t="s">
        <v>39</v>
      </c>
      <c r="D21" s="1" t="str">
        <f>CONCATENATE(Table1[[#This Row],[Month Name]]," ","-"," ",Table1[[#This Row],[Year ]])</f>
        <v>May - 2018</v>
      </c>
      <c r="E21" s="2">
        <v>996517.68</v>
      </c>
      <c r="F21" s="2">
        <v>6853</v>
      </c>
    </row>
    <row r="22" spans="1:6" x14ac:dyDescent="0.3">
      <c r="A22">
        <v>2018</v>
      </c>
      <c r="B22">
        <v>6</v>
      </c>
      <c r="C22" t="s">
        <v>40</v>
      </c>
      <c r="D22" s="1" t="str">
        <f>CONCATENATE(Table1[[#This Row],[Month Name]]," ","-"," ",Table1[[#This Row],[Year ]])</f>
        <v>June - 2018</v>
      </c>
      <c r="E22" s="2">
        <v>865124.31</v>
      </c>
      <c r="F22" s="2">
        <v>6160</v>
      </c>
    </row>
    <row r="23" spans="1:6" x14ac:dyDescent="0.3">
      <c r="A23">
        <v>2018</v>
      </c>
      <c r="B23">
        <v>7</v>
      </c>
      <c r="C23" t="s">
        <v>41</v>
      </c>
      <c r="D23" s="1" t="str">
        <f>CONCATENATE(Table1[[#This Row],[Month Name]]," ","-"," ",Table1[[#This Row],[Year ]])</f>
        <v>July - 2018</v>
      </c>
      <c r="E23" s="2">
        <v>895507.22</v>
      </c>
      <c r="F23" s="2">
        <v>6273</v>
      </c>
    </row>
    <row r="24" spans="1:6" x14ac:dyDescent="0.3">
      <c r="A24">
        <v>2018</v>
      </c>
      <c r="B24">
        <v>8</v>
      </c>
      <c r="C24" t="s">
        <v>42</v>
      </c>
      <c r="D24" s="1" t="str">
        <f>CONCATENATE(Table1[[#This Row],[Month Name]]," ","-"," ",Table1[[#This Row],[Year ]])</f>
        <v>August - 2018</v>
      </c>
      <c r="E24" s="2">
        <v>854686.33</v>
      </c>
      <c r="F24" s="2">
        <v>6452</v>
      </c>
    </row>
    <row r="25" spans="1:6" x14ac:dyDescent="0.3">
      <c r="D25" s="1"/>
      <c r="E25" s="2"/>
      <c r="F25" s="2"/>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D36A-1816-4EE5-A7BE-56F20C0DCD1A}">
  <dimension ref="A1:E11"/>
  <sheetViews>
    <sheetView workbookViewId="0">
      <selection activeCell="N25" sqref="N25"/>
    </sheetView>
  </sheetViews>
  <sheetFormatPr defaultRowHeight="14.4" x14ac:dyDescent="0.3"/>
  <cols>
    <col min="1" max="1" width="20.44140625" bestFit="1" customWidth="1"/>
    <col min="2" max="2" width="20.33203125" bestFit="1" customWidth="1"/>
    <col min="3" max="3" width="10.77734375" bestFit="1" customWidth="1"/>
    <col min="4" max="4" width="13.109375" bestFit="1" customWidth="1"/>
    <col min="5" max="5" width="8.33203125" bestFit="1" customWidth="1"/>
  </cols>
  <sheetData>
    <row r="1" spans="1:5" x14ac:dyDescent="0.3">
      <c r="A1" t="s">
        <v>58</v>
      </c>
      <c r="B1" t="s">
        <v>58</v>
      </c>
      <c r="C1" t="s">
        <v>1</v>
      </c>
      <c r="D1" t="s">
        <v>59</v>
      </c>
      <c r="E1" t="s">
        <v>60</v>
      </c>
    </row>
    <row r="2" spans="1:5" x14ac:dyDescent="0.3">
      <c r="A2" t="s">
        <v>48</v>
      </c>
      <c r="B2" t="str">
        <f>PROPER(SUBSTITUTE(A2,"_"," "))</f>
        <v>Health Beauty</v>
      </c>
      <c r="C2">
        <v>8836</v>
      </c>
      <c r="D2" s="1">
        <v>2517362.6800000002</v>
      </c>
      <c r="E2">
        <v>130.16</v>
      </c>
    </row>
    <row r="3" spans="1:5" x14ac:dyDescent="0.3">
      <c r="A3" t="s">
        <v>49</v>
      </c>
      <c r="B3" t="str">
        <f t="shared" ref="B3:B11" si="0">PROPER(SUBSTITUTE(A3,"_"," "))</f>
        <v>Watches Gifts</v>
      </c>
      <c r="C3">
        <v>5624</v>
      </c>
      <c r="D3" s="1">
        <v>2410011.36</v>
      </c>
      <c r="E3">
        <v>201.14</v>
      </c>
    </row>
    <row r="4" spans="1:5" x14ac:dyDescent="0.3">
      <c r="A4" t="s">
        <v>50</v>
      </c>
      <c r="B4" t="str">
        <f t="shared" si="0"/>
        <v>Bed Bath Table</v>
      </c>
      <c r="C4">
        <v>9417</v>
      </c>
      <c r="D4" s="1">
        <v>2073977.36</v>
      </c>
      <c r="E4">
        <v>93.3</v>
      </c>
    </row>
    <row r="5" spans="1:5" x14ac:dyDescent="0.3">
      <c r="A5" t="s">
        <v>51</v>
      </c>
      <c r="B5" t="str">
        <f t="shared" si="0"/>
        <v>Sports Leisure</v>
      </c>
      <c r="C5">
        <v>7720</v>
      </c>
      <c r="D5" s="1">
        <v>1976097.94</v>
      </c>
      <c r="E5">
        <v>114.34</v>
      </c>
    </row>
    <row r="6" spans="1:5" x14ac:dyDescent="0.3">
      <c r="A6" t="s">
        <v>52</v>
      </c>
      <c r="B6" t="str">
        <f t="shared" si="0"/>
        <v>Computers Accessories</v>
      </c>
      <c r="C6">
        <v>6689</v>
      </c>
      <c r="D6" s="1">
        <v>1823908.64</v>
      </c>
      <c r="E6">
        <v>116.51</v>
      </c>
    </row>
    <row r="7" spans="1:5" x14ac:dyDescent="0.3">
      <c r="A7" t="s">
        <v>53</v>
      </c>
      <c r="B7" t="str">
        <f t="shared" si="0"/>
        <v>Furniture Decor</v>
      </c>
      <c r="C7">
        <v>6449</v>
      </c>
      <c r="D7" s="1">
        <v>1459524.98</v>
      </c>
      <c r="E7">
        <v>87.56</v>
      </c>
    </row>
    <row r="8" spans="1:5" x14ac:dyDescent="0.3">
      <c r="A8" t="s">
        <v>54</v>
      </c>
      <c r="B8" t="str">
        <f t="shared" si="0"/>
        <v>Cool Stuff</v>
      </c>
      <c r="C8">
        <v>3632</v>
      </c>
      <c r="D8" s="1">
        <v>1270581.7</v>
      </c>
      <c r="E8">
        <v>167.36</v>
      </c>
    </row>
    <row r="9" spans="1:5" x14ac:dyDescent="0.3">
      <c r="A9" t="s">
        <v>55</v>
      </c>
      <c r="B9" t="str">
        <f t="shared" si="0"/>
        <v>Housewares</v>
      </c>
      <c r="C9">
        <v>5884</v>
      </c>
      <c r="D9" s="1">
        <v>1264497.32</v>
      </c>
      <c r="E9">
        <v>90.79</v>
      </c>
    </row>
    <row r="10" spans="1:5" x14ac:dyDescent="0.3">
      <c r="A10" t="s">
        <v>56</v>
      </c>
      <c r="B10" t="str">
        <f t="shared" si="0"/>
        <v>Auto</v>
      </c>
      <c r="C10">
        <v>3897</v>
      </c>
      <c r="D10" s="1">
        <v>1185440.22</v>
      </c>
      <c r="E10">
        <v>139.96</v>
      </c>
    </row>
    <row r="11" spans="1:5" x14ac:dyDescent="0.3">
      <c r="A11" t="s">
        <v>57</v>
      </c>
      <c r="B11" t="str">
        <f t="shared" si="0"/>
        <v>Garden Tools</v>
      </c>
      <c r="C11">
        <v>3518</v>
      </c>
      <c r="D11" s="1">
        <v>970512.92</v>
      </c>
      <c r="E11">
        <v>111.63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1693-C3A5-4206-8FEE-94AC13736084}">
  <dimension ref="A1:E11"/>
  <sheetViews>
    <sheetView topLeftCell="C7" zoomScale="145" zoomScaleNormal="145" workbookViewId="0">
      <selection activeCell="E19" sqref="E19"/>
    </sheetView>
  </sheetViews>
  <sheetFormatPr defaultRowHeight="14.4" x14ac:dyDescent="0.3"/>
  <cols>
    <col min="1" max="2" width="22.109375" bestFit="1" customWidth="1"/>
    <col min="3" max="3" width="10.77734375" bestFit="1" customWidth="1"/>
    <col min="4" max="4" width="12.109375" bestFit="1" customWidth="1"/>
    <col min="5" max="5" width="8.33203125" bestFit="1" customWidth="1"/>
  </cols>
  <sheetData>
    <row r="1" spans="1:5" x14ac:dyDescent="0.3">
      <c r="A1" t="s">
        <v>58</v>
      </c>
      <c r="B1" t="s">
        <v>58</v>
      </c>
      <c r="C1" t="s">
        <v>1</v>
      </c>
      <c r="D1" s="1" t="s">
        <v>59</v>
      </c>
      <c r="E1" t="s">
        <v>60</v>
      </c>
    </row>
    <row r="2" spans="1:5" x14ac:dyDescent="0.3">
      <c r="A2" t="s">
        <v>61</v>
      </c>
      <c r="B2" t="str">
        <f>PROPER(SUBSTITUTE(A2,"_"," "))</f>
        <v>Security And Services</v>
      </c>
      <c r="C2">
        <v>2</v>
      </c>
      <c r="D2" s="1">
        <v>566.58000000000004</v>
      </c>
      <c r="E2">
        <v>141.65</v>
      </c>
    </row>
    <row r="3" spans="1:5" x14ac:dyDescent="0.3">
      <c r="A3" t="s">
        <v>62</v>
      </c>
      <c r="B3" t="str">
        <f t="shared" ref="B3:B11" si="0">PROPER(SUBSTITUTE(A3,"_"," "))</f>
        <v>Fashion Childrens Clothes</v>
      </c>
      <c r="C3">
        <v>8</v>
      </c>
      <c r="D3" s="1">
        <v>1139.7</v>
      </c>
      <c r="E3">
        <v>71.23</v>
      </c>
    </row>
    <row r="4" spans="1:5" x14ac:dyDescent="0.3">
      <c r="A4" t="s">
        <v>63</v>
      </c>
      <c r="B4" t="str">
        <f t="shared" si="0"/>
        <v>Cds Dvds Musicals</v>
      </c>
      <c r="C4">
        <v>12</v>
      </c>
      <c r="D4" s="1">
        <v>1460</v>
      </c>
      <c r="E4">
        <v>52.14</v>
      </c>
    </row>
    <row r="5" spans="1:5" x14ac:dyDescent="0.3">
      <c r="A5" t="s">
        <v>64</v>
      </c>
      <c r="B5" t="str">
        <f t="shared" si="0"/>
        <v>Home Comfort 2</v>
      </c>
      <c r="C5">
        <v>24</v>
      </c>
      <c r="D5" s="1">
        <v>1520.54</v>
      </c>
      <c r="E5">
        <v>25.34</v>
      </c>
    </row>
    <row r="6" spans="1:5" x14ac:dyDescent="0.3">
      <c r="A6" t="s">
        <v>65</v>
      </c>
      <c r="B6" t="str">
        <f t="shared" si="0"/>
        <v>Flowers</v>
      </c>
      <c r="C6">
        <v>29</v>
      </c>
      <c r="D6" s="1">
        <v>2220.08</v>
      </c>
      <c r="E6">
        <v>33.64</v>
      </c>
    </row>
    <row r="7" spans="1:5" x14ac:dyDescent="0.3">
      <c r="A7" t="s">
        <v>66</v>
      </c>
      <c r="B7" t="str">
        <f t="shared" si="0"/>
        <v>Diapers And Hygiene</v>
      </c>
      <c r="C7">
        <v>27</v>
      </c>
      <c r="D7" s="1">
        <v>3135.18</v>
      </c>
      <c r="E7">
        <v>40.19</v>
      </c>
    </row>
    <row r="8" spans="1:5" x14ac:dyDescent="0.3">
      <c r="A8" t="s">
        <v>67</v>
      </c>
      <c r="B8" t="str">
        <f t="shared" si="0"/>
        <v>Arts And Craftmanship</v>
      </c>
      <c r="C8">
        <v>23</v>
      </c>
      <c r="D8" s="1">
        <v>3628.02</v>
      </c>
      <c r="E8">
        <v>75.58</v>
      </c>
    </row>
    <row r="9" spans="1:5" x14ac:dyDescent="0.3">
      <c r="A9" t="s">
        <v>68</v>
      </c>
      <c r="B9" t="str">
        <f t="shared" si="0"/>
        <v>La Cuisine</v>
      </c>
      <c r="C9">
        <v>13</v>
      </c>
      <c r="D9" s="1">
        <v>4109.9799999999996</v>
      </c>
      <c r="E9">
        <v>146.79</v>
      </c>
    </row>
    <row r="10" spans="1:5" x14ac:dyDescent="0.3">
      <c r="A10" t="s">
        <v>69</v>
      </c>
      <c r="B10" t="str">
        <f t="shared" si="0"/>
        <v>Fashion Sport</v>
      </c>
      <c r="C10">
        <v>27</v>
      </c>
      <c r="D10" s="1">
        <v>4239.0200000000004</v>
      </c>
      <c r="E10">
        <v>70.650000000000006</v>
      </c>
    </row>
    <row r="11" spans="1:5" x14ac:dyDescent="0.3">
      <c r="A11" t="s">
        <v>70</v>
      </c>
      <c r="B11" t="str">
        <f t="shared" si="0"/>
        <v>Fashio Female Clothing</v>
      </c>
      <c r="C11">
        <v>39</v>
      </c>
      <c r="D11" s="1">
        <v>5607.28</v>
      </c>
      <c r="E11">
        <v>58.41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CA904-F9B3-43A6-8EEB-8600ED38408F}">
  <dimension ref="A1:E6"/>
  <sheetViews>
    <sheetView topLeftCell="D1" zoomScale="145" zoomScaleNormal="145" workbookViewId="0">
      <selection activeCell="D17" sqref="D17"/>
    </sheetView>
  </sheetViews>
  <sheetFormatPr defaultRowHeight="14.4" x14ac:dyDescent="0.3"/>
  <cols>
    <col min="1" max="2" width="12" bestFit="1" customWidth="1"/>
    <col min="3" max="3" width="15.6640625" bestFit="1" customWidth="1"/>
    <col min="4" max="4" width="14.21875" bestFit="1" customWidth="1"/>
    <col min="5" max="5" width="18.6640625" bestFit="1" customWidth="1"/>
  </cols>
  <sheetData>
    <row r="1" spans="1:5" x14ac:dyDescent="0.3">
      <c r="A1" t="s">
        <v>76</v>
      </c>
      <c r="B1" t="s">
        <v>76</v>
      </c>
      <c r="C1" t="s">
        <v>77</v>
      </c>
      <c r="D1" t="s">
        <v>59</v>
      </c>
      <c r="E1" t="s">
        <v>78</v>
      </c>
    </row>
    <row r="2" spans="1:5" x14ac:dyDescent="0.3">
      <c r="A2" t="s">
        <v>71</v>
      </c>
      <c r="B2" t="str">
        <f>PROPER(SUBSTITUTE(A2,"_"," "))</f>
        <v>Credit Card</v>
      </c>
      <c r="C2">
        <v>76795</v>
      </c>
      <c r="D2" s="1">
        <v>12542084.189999999</v>
      </c>
      <c r="E2">
        <v>163.32</v>
      </c>
    </row>
    <row r="3" spans="1:5" x14ac:dyDescent="0.3">
      <c r="A3" t="s">
        <v>72</v>
      </c>
      <c r="B3" t="str">
        <f>PROPER(SUBSTITUTE(A3,"_"," "))</f>
        <v>Boleto</v>
      </c>
      <c r="C3">
        <v>19784</v>
      </c>
      <c r="D3" s="1">
        <v>2869361.27</v>
      </c>
      <c r="E3">
        <v>145.03</v>
      </c>
    </row>
    <row r="4" spans="1:5" x14ac:dyDescent="0.3">
      <c r="A4" t="s">
        <v>73</v>
      </c>
      <c r="B4" t="str">
        <f>PROPER(SUBSTITUTE(A4,"_"," "))</f>
        <v>Voucher</v>
      </c>
      <c r="C4">
        <v>5775</v>
      </c>
      <c r="D4" s="1">
        <v>379436.87</v>
      </c>
      <c r="E4">
        <v>65.7</v>
      </c>
    </row>
    <row r="5" spans="1:5" x14ac:dyDescent="0.3">
      <c r="A5" t="s">
        <v>74</v>
      </c>
      <c r="B5" t="str">
        <f>PROPER(SUBSTITUTE(A5,"_"," "))</f>
        <v>Debit Card</v>
      </c>
      <c r="C5">
        <v>1529</v>
      </c>
      <c r="D5" s="1">
        <v>217989.79</v>
      </c>
      <c r="E5">
        <v>142.57</v>
      </c>
    </row>
    <row r="6" spans="1:5" x14ac:dyDescent="0.3">
      <c r="A6" t="s">
        <v>75</v>
      </c>
      <c r="B6" t="str">
        <f>PROPER(SUBSTITUTE(A6,"_"," "))</f>
        <v>Not Defined</v>
      </c>
      <c r="C6">
        <v>3</v>
      </c>
      <c r="D6">
        <v>0</v>
      </c>
      <c r="E6">
        <v>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EFAA-A7D3-4BED-9555-9F9C1F1C3D8F}">
  <dimension ref="A1:E7"/>
  <sheetViews>
    <sheetView workbookViewId="0">
      <selection activeCell="I2" sqref="I2"/>
    </sheetView>
  </sheetViews>
  <sheetFormatPr defaultRowHeight="14.4" x14ac:dyDescent="0.3"/>
  <cols>
    <col min="1" max="1" width="5" bestFit="1" customWidth="1"/>
    <col min="2" max="2" width="13.109375" bestFit="1" customWidth="1"/>
    <col min="3" max="3" width="18.88671875" bestFit="1" customWidth="1"/>
    <col min="4" max="4" width="16.5546875" bestFit="1" customWidth="1"/>
  </cols>
  <sheetData>
    <row r="1" spans="1:5" x14ac:dyDescent="0.3">
      <c r="A1" t="s">
        <v>80</v>
      </c>
      <c r="B1" t="s">
        <v>47</v>
      </c>
      <c r="C1" t="s">
        <v>81</v>
      </c>
      <c r="D1" t="s">
        <v>82</v>
      </c>
    </row>
    <row r="2" spans="1:5" x14ac:dyDescent="0.3">
      <c r="A2">
        <v>2016</v>
      </c>
      <c r="B2" s="1">
        <v>49785.919999999998</v>
      </c>
      <c r="C2" t="s">
        <v>79</v>
      </c>
      <c r="D2" t="s">
        <v>79</v>
      </c>
    </row>
    <row r="3" spans="1:5" x14ac:dyDescent="0.3">
      <c r="A3">
        <v>2017</v>
      </c>
      <c r="B3" s="1">
        <v>6155806.9800000004</v>
      </c>
      <c r="C3">
        <v>6106021.0599999996</v>
      </c>
      <c r="D3" s="4">
        <f>(B3/B2)-1</f>
        <v>122.64554034554349</v>
      </c>
    </row>
    <row r="4" spans="1:5" x14ac:dyDescent="0.3">
      <c r="A4">
        <v>2018</v>
      </c>
      <c r="B4" s="1">
        <v>7386050.7999999998</v>
      </c>
      <c r="C4">
        <v>1230243.82</v>
      </c>
      <c r="D4" s="4">
        <f>(B4/B3)-1</f>
        <v>0.19985094139517656</v>
      </c>
    </row>
    <row r="7" spans="1:5" x14ac:dyDescent="0.3">
      <c r="E7" s="4"/>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86C34-B70E-45DD-AB04-BA2227472257}">
  <dimension ref="A1"/>
  <sheetViews>
    <sheetView showGridLines="0" zoomScale="85" zoomScaleNormal="85" workbookViewId="0">
      <selection activeCell="Y44" sqref="Y43:Y44"/>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B3B24-FE13-4275-A51A-709E74F2AEE9}">
  <dimension ref="A1:F28"/>
  <sheetViews>
    <sheetView topLeftCell="A10" zoomScale="70" zoomScaleNormal="70" workbookViewId="0">
      <selection activeCell="F39" sqref="F39"/>
    </sheetView>
  </sheetViews>
  <sheetFormatPr defaultRowHeight="14.4" x14ac:dyDescent="0.3"/>
  <cols>
    <col min="1" max="1" width="13.44140625" bestFit="1" customWidth="1"/>
    <col min="2" max="2" width="14.77734375" bestFit="1" customWidth="1"/>
    <col min="3" max="3" width="23" bestFit="1" customWidth="1"/>
    <col min="4" max="4" width="10.77734375" bestFit="1" customWidth="1"/>
  </cols>
  <sheetData>
    <row r="1" spans="1:6" x14ac:dyDescent="0.3">
      <c r="A1" t="s">
        <v>21</v>
      </c>
      <c r="B1" t="s">
        <v>107</v>
      </c>
      <c r="C1" t="s">
        <v>25</v>
      </c>
      <c r="D1" t="s">
        <v>100</v>
      </c>
      <c r="E1" t="s">
        <v>1</v>
      </c>
    </row>
    <row r="2" spans="1:6" x14ac:dyDescent="0.3">
      <c r="A2" t="e" vm="1">
        <v>#VALUE!</v>
      </c>
      <c r="B2" t="s">
        <v>108</v>
      </c>
      <c r="C2" s="3">
        <v>29.34</v>
      </c>
      <c r="D2">
        <v>17.29</v>
      </c>
      <c r="E2">
        <v>41</v>
      </c>
      <c r="F2" t="str" cm="1">
        <f t="array" aca="1" ref="F2" ca="1">_FV(A2,"Abbreviation")</f>
        <v>BR-RR</v>
      </c>
    </row>
    <row r="3" spans="1:6" x14ac:dyDescent="0.3">
      <c r="A3" t="e" vm="2">
        <v>#VALUE!</v>
      </c>
      <c r="B3" t="s">
        <v>109</v>
      </c>
      <c r="C3" s="3">
        <v>27.18</v>
      </c>
      <c r="D3">
        <v>19.690000000000001</v>
      </c>
      <c r="E3">
        <v>67</v>
      </c>
      <c r="F3" t="str" cm="1">
        <f t="array" aca="1" ref="F3" ca="1">_FV(A3,"Abbreviation")</f>
        <v>BR-AP</v>
      </c>
    </row>
    <row r="4" spans="1:6" x14ac:dyDescent="0.3">
      <c r="A4" t="e" vm="3">
        <v>#VALUE!</v>
      </c>
      <c r="B4" t="s">
        <v>110</v>
      </c>
      <c r="C4" s="3">
        <v>26.36</v>
      </c>
      <c r="D4">
        <v>19.57</v>
      </c>
      <c r="E4">
        <v>145</v>
      </c>
      <c r="F4" t="str" cm="1">
        <f t="array" aca="1" ref="F4" ca="1">_FV(A4,"Abbreviation")</f>
        <v>BR-AM</v>
      </c>
    </row>
    <row r="5" spans="1:6" x14ac:dyDescent="0.3">
      <c r="A5" t="e" vm="4">
        <v>#VALUE!</v>
      </c>
      <c r="B5" t="s">
        <v>111</v>
      </c>
      <c r="C5" s="3">
        <v>24.5</v>
      </c>
      <c r="D5">
        <v>8.7100000000000009</v>
      </c>
      <c r="E5">
        <v>397</v>
      </c>
      <c r="F5" t="str" cm="1">
        <f t="array" aca="1" ref="F5" ca="1">_FV(A5,"Abbreviation")</f>
        <v>BR-AL</v>
      </c>
    </row>
    <row r="6" spans="1:6" x14ac:dyDescent="0.3">
      <c r="A6" t="e" vm="5">
        <v>#VALUE!</v>
      </c>
      <c r="B6" t="s">
        <v>112</v>
      </c>
      <c r="C6" s="3">
        <v>23.73</v>
      </c>
      <c r="D6">
        <v>14.07</v>
      </c>
      <c r="E6">
        <v>946</v>
      </c>
      <c r="F6" t="str" cm="1">
        <f t="array" aca="1" ref="F6" ca="1">_FV(A6,"Abbreviation")</f>
        <v>BR-PA</v>
      </c>
    </row>
    <row r="7" spans="1:6" x14ac:dyDescent="0.3">
      <c r="A7" t="e" vm="6">
        <v>#VALUE!</v>
      </c>
      <c r="B7" t="s">
        <v>113</v>
      </c>
      <c r="C7" s="3">
        <v>21.51</v>
      </c>
      <c r="D7">
        <v>9.57</v>
      </c>
      <c r="E7">
        <v>717</v>
      </c>
      <c r="F7" t="str" cm="1">
        <f t="array" aca="1" ref="F7" ca="1">_FV(A7,"Abbreviation")</f>
        <v>BR-MA</v>
      </c>
    </row>
    <row r="8" spans="1:6" x14ac:dyDescent="0.3">
      <c r="A8" t="e" vm="7">
        <v>#VALUE!</v>
      </c>
      <c r="B8" t="s">
        <v>114</v>
      </c>
      <c r="C8" s="3">
        <v>21.46</v>
      </c>
      <c r="D8">
        <v>10.02</v>
      </c>
      <c r="E8">
        <v>335</v>
      </c>
      <c r="F8" t="str" cm="1">
        <f t="array" aca="1" ref="F8" ca="1">_FV(A8,"Abbreviation")</f>
        <v>BR-SE</v>
      </c>
    </row>
    <row r="9" spans="1:6" x14ac:dyDescent="0.3">
      <c r="A9" t="e" vm="8">
        <v>#VALUE!</v>
      </c>
      <c r="B9" t="s">
        <v>115</v>
      </c>
      <c r="C9" s="3">
        <v>21.2</v>
      </c>
      <c r="D9">
        <v>10.8</v>
      </c>
      <c r="E9">
        <v>1279</v>
      </c>
      <c r="F9" t="str" cm="1">
        <f t="array" aca="1" ref="F9" ca="1">_FV(A9,"Abbreviation")</f>
        <v>BR-CE</v>
      </c>
    </row>
    <row r="10" spans="1:6" x14ac:dyDescent="0.3">
      <c r="A10" t="e" vm="9">
        <v>#VALUE!</v>
      </c>
      <c r="B10" t="s">
        <v>116</v>
      </c>
      <c r="C10" s="3">
        <v>21</v>
      </c>
      <c r="D10">
        <v>20.73</v>
      </c>
      <c r="E10">
        <v>80</v>
      </c>
      <c r="F10" t="str" cm="1">
        <f t="array" aca="1" ref="F10" ca="1">_FV(A10,"Abbreviation")</f>
        <v>BR-AC</v>
      </c>
    </row>
    <row r="11" spans="1:6" x14ac:dyDescent="0.3">
      <c r="A11" t="e" vm="10">
        <v>#VALUE!</v>
      </c>
      <c r="B11" t="s">
        <v>117</v>
      </c>
      <c r="C11" s="3">
        <v>20.39</v>
      </c>
      <c r="D11">
        <v>13.26</v>
      </c>
      <c r="E11">
        <v>517</v>
      </c>
      <c r="F11" t="str" cm="1">
        <f t="array" aca="1" ref="F11" ca="1">_FV(A11,"Abbreviation")</f>
        <v>BR-PB</v>
      </c>
    </row>
    <row r="12" spans="1:6" x14ac:dyDescent="0.3">
      <c r="A12" t="e" vm="11">
        <v>#VALUE!</v>
      </c>
      <c r="B12" t="e" vm="11">
        <v>#VALUE!</v>
      </c>
      <c r="C12" s="3">
        <v>19.39</v>
      </c>
      <c r="D12">
        <v>11.31</v>
      </c>
      <c r="E12">
        <v>476</v>
      </c>
      <c r="F12" t="str" cm="1">
        <f t="array" aca="1" ref="F12" ca="1">_FV(A12,"Abbreviation")</f>
        <v>BR-PI</v>
      </c>
    </row>
    <row r="13" spans="1:6" x14ac:dyDescent="0.3">
      <c r="A13" t="e" vm="12">
        <v>#VALUE!</v>
      </c>
      <c r="B13" t="s">
        <v>118</v>
      </c>
      <c r="C13" s="3">
        <v>19.28</v>
      </c>
      <c r="D13">
        <v>10.79</v>
      </c>
      <c r="E13">
        <v>3256</v>
      </c>
      <c r="F13" t="str" cm="1">
        <f t="array" aca="1" ref="F13" ca="1">_FV(A13,"Abbreviation")</f>
        <v>BR-BA</v>
      </c>
    </row>
    <row r="14" spans="1:6" x14ac:dyDescent="0.3">
      <c r="A14" t="e" vm="13">
        <v>#VALUE!</v>
      </c>
      <c r="B14" t="s">
        <v>119</v>
      </c>
      <c r="C14" s="3">
        <v>19.28</v>
      </c>
      <c r="D14">
        <v>20.100000000000001</v>
      </c>
      <c r="E14">
        <v>243</v>
      </c>
      <c r="F14" t="str" cm="1">
        <f t="array" aca="1" ref="F14" ca="1">_FV(A14,"Abbreviation")</f>
        <v>BR-RO</v>
      </c>
    </row>
    <row r="15" spans="1:6" x14ac:dyDescent="0.3">
      <c r="A15" t="e" vm="14">
        <v>#VALUE!</v>
      </c>
      <c r="B15" t="s">
        <v>120</v>
      </c>
      <c r="C15" s="3">
        <v>19.22</v>
      </c>
      <c r="D15">
        <v>13.65</v>
      </c>
      <c r="E15">
        <v>474</v>
      </c>
      <c r="F15" t="str" cm="1">
        <f t="array" aca="1" ref="F15" ca="1">_FV(A15,"Abbreviation")</f>
        <v>BR-RN</v>
      </c>
    </row>
    <row r="16" spans="1:6" x14ac:dyDescent="0.3">
      <c r="A16" t="e" vm="15">
        <v>#VALUE!</v>
      </c>
      <c r="B16" t="s">
        <v>121</v>
      </c>
      <c r="C16" s="3">
        <v>18.399999999999999</v>
      </c>
      <c r="D16">
        <v>13.29</v>
      </c>
      <c r="E16">
        <v>1593</v>
      </c>
      <c r="F16" t="str" cm="1">
        <f t="array" aca="1" ref="F16" ca="1">_FV(A16,"Abbreviation")</f>
        <v>BR-PE</v>
      </c>
    </row>
    <row r="17" spans="1:6" x14ac:dyDescent="0.3">
      <c r="A17" t="e" vm="16">
        <v>#VALUE!</v>
      </c>
      <c r="B17" t="s">
        <v>122</v>
      </c>
      <c r="C17" s="3">
        <v>18</v>
      </c>
      <c r="D17">
        <v>14.36</v>
      </c>
      <c r="E17">
        <v>886</v>
      </c>
      <c r="F17" t="str" cm="1">
        <f t="array" aca="1" ref="F17" ca="1">_FV(A17,"Abbreviation")</f>
        <v>BR-MT</v>
      </c>
    </row>
    <row r="18" spans="1:6" x14ac:dyDescent="0.3">
      <c r="A18" t="e" vm="17">
        <v>#VALUE!</v>
      </c>
      <c r="B18" t="s">
        <v>123</v>
      </c>
      <c r="C18" s="3">
        <v>17.600000000000001</v>
      </c>
      <c r="D18">
        <v>12.13</v>
      </c>
      <c r="E18">
        <v>274</v>
      </c>
      <c r="F18" t="str" cm="1">
        <f t="array" aca="1" ref="F18" ca="1">_FV(A18,"Abbreviation")</f>
        <v>BR-TO</v>
      </c>
    </row>
    <row r="19" spans="1:6" x14ac:dyDescent="0.3">
      <c r="A19" t="e" vm="18">
        <v>#VALUE!</v>
      </c>
      <c r="B19" t="s">
        <v>124</v>
      </c>
      <c r="C19" s="3">
        <v>15.72</v>
      </c>
      <c r="D19">
        <v>10.5</v>
      </c>
      <c r="E19">
        <v>1995</v>
      </c>
      <c r="F19" t="str" cm="1">
        <f t="array" aca="1" ref="F19" ca="1">_FV(A19,"Abbreviation")</f>
        <v>BR-ES</v>
      </c>
    </row>
    <row r="20" spans="1:6" x14ac:dyDescent="0.3">
      <c r="A20" t="e" vm="19">
        <v>#VALUE!</v>
      </c>
      <c r="B20" t="s">
        <v>125</v>
      </c>
      <c r="C20" s="3">
        <v>15.54</v>
      </c>
      <c r="D20">
        <v>12.19</v>
      </c>
      <c r="E20">
        <v>1957</v>
      </c>
      <c r="F20" t="str" cm="1">
        <f t="array" aca="1" ref="F20" ca="1">_FV(A20,"Abbreviation")</f>
        <v>BR-GO</v>
      </c>
    </row>
    <row r="21" spans="1:6" x14ac:dyDescent="0.3">
      <c r="A21" t="e" vm="20">
        <v>#VALUE!</v>
      </c>
      <c r="B21" t="s">
        <v>126</v>
      </c>
      <c r="C21" s="3">
        <v>15.54</v>
      </c>
      <c r="D21">
        <v>11.05</v>
      </c>
      <c r="E21">
        <v>701</v>
      </c>
      <c r="F21" t="str" cm="1">
        <f t="array" aca="1" ref="F21" ca="1">_FV(A21,"Abbreviation")</f>
        <v>BR-MS</v>
      </c>
    </row>
    <row r="22" spans="1:6" x14ac:dyDescent="0.3">
      <c r="A22" t="e" vm="21">
        <v>#VALUE!</v>
      </c>
      <c r="B22" t="s">
        <v>127</v>
      </c>
      <c r="C22" s="3">
        <v>15.25</v>
      </c>
      <c r="D22">
        <v>13.91</v>
      </c>
      <c r="E22">
        <v>5344</v>
      </c>
      <c r="F22" t="str" cm="1">
        <f t="array" aca="1" ref="F22" ca="1">_FV(A22,"Abbreviation")</f>
        <v>BR-RS</v>
      </c>
    </row>
    <row r="23" spans="1:6" x14ac:dyDescent="0.3">
      <c r="A23" t="e" vm="22">
        <v>#VALUE!</v>
      </c>
      <c r="B23" t="s">
        <v>128</v>
      </c>
      <c r="C23" s="3">
        <v>15.24</v>
      </c>
      <c r="D23">
        <v>11.77</v>
      </c>
      <c r="E23">
        <v>12353</v>
      </c>
      <c r="F23" t="str" cm="1">
        <f t="array" aca="1" ref="F23" ca="1">_FV(A23,"Abbreviation")</f>
        <v>BR-RJ</v>
      </c>
    </row>
    <row r="24" spans="1:6" x14ac:dyDescent="0.3">
      <c r="A24" t="e" vm="23">
        <v>#VALUE!</v>
      </c>
      <c r="B24" t="s">
        <v>129</v>
      </c>
      <c r="C24" s="3">
        <v>14.91</v>
      </c>
      <c r="D24">
        <v>11.51</v>
      </c>
      <c r="E24">
        <v>3547</v>
      </c>
      <c r="F24" t="str" cm="1">
        <f t="array" aca="1" ref="F24" ca="1">_FV(A24,"Abbreviation")</f>
        <v>BR-SC</v>
      </c>
    </row>
    <row r="25" spans="1:6" x14ac:dyDescent="0.3">
      <c r="A25" t="e" vm="24">
        <v>#VALUE!</v>
      </c>
      <c r="B25" t="s">
        <v>130</v>
      </c>
      <c r="C25" s="3">
        <v>12.9</v>
      </c>
      <c r="D25">
        <v>12.05</v>
      </c>
      <c r="E25">
        <v>2080</v>
      </c>
      <c r="F25" t="str" cm="1">
        <f t="array" aca="1" ref="F25" ca="1">_FV(A25,"Abbreviation")</f>
        <v>BR-DF</v>
      </c>
    </row>
    <row r="26" spans="1:6" x14ac:dyDescent="0.3">
      <c r="A26" t="e" vm="25">
        <v>#VALUE!</v>
      </c>
      <c r="B26" t="s">
        <v>131</v>
      </c>
      <c r="C26" s="3">
        <v>11.95</v>
      </c>
      <c r="D26">
        <v>13.24</v>
      </c>
      <c r="E26">
        <v>11355</v>
      </c>
      <c r="F26" t="str" cm="1">
        <f t="array" aca="1" ref="F26" ca="1">_FV(A26,"Abbreviation")</f>
        <v>BR-MG</v>
      </c>
    </row>
    <row r="27" spans="1:6" x14ac:dyDescent="0.3">
      <c r="A27" t="e" vm="26">
        <v>#VALUE!</v>
      </c>
      <c r="B27" t="s">
        <v>132</v>
      </c>
      <c r="C27" s="3">
        <v>11.94</v>
      </c>
      <c r="D27">
        <v>13.31</v>
      </c>
      <c r="E27">
        <v>4923</v>
      </c>
      <c r="F27" t="str" cm="1">
        <f t="array" aca="1" ref="F27" ca="1">_FV(A27,"Abbreviation")</f>
        <v>BR-PR</v>
      </c>
    </row>
    <row r="28" spans="1:6" x14ac:dyDescent="0.3">
      <c r="A28" t="e" vm="27">
        <v>#VALUE!</v>
      </c>
      <c r="B28" t="s">
        <v>133</v>
      </c>
      <c r="C28" s="3">
        <v>8.6999999999999993</v>
      </c>
      <c r="D28">
        <v>11.08</v>
      </c>
      <c r="E28">
        <v>40495</v>
      </c>
      <c r="F28" t="str" cm="1">
        <f t="array" aca="1" ref="F28" ca="1">_FV(A28,"Abbreviation")</f>
        <v>BR-SP</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D1580-32D3-4169-88BF-EDCEC15F54BB}">
  <dimension ref="A1:C3"/>
  <sheetViews>
    <sheetView topLeftCell="D4" zoomScale="160" zoomScaleNormal="160" workbookViewId="0">
      <selection activeCell="M11" sqref="M11"/>
    </sheetView>
  </sheetViews>
  <sheetFormatPr defaultRowHeight="14.4" x14ac:dyDescent="0.3"/>
  <cols>
    <col min="1" max="1" width="12.6640625" bestFit="1" customWidth="1"/>
    <col min="2" max="2" width="10.77734375" bestFit="1" customWidth="1"/>
    <col min="3" max="3" width="10.21875" bestFit="1" customWidth="1"/>
  </cols>
  <sheetData>
    <row r="1" spans="1:3" x14ac:dyDescent="0.3">
      <c r="A1" t="s">
        <v>103</v>
      </c>
      <c r="B1" t="s">
        <v>1</v>
      </c>
      <c r="C1" t="s">
        <v>31</v>
      </c>
    </row>
    <row r="2" spans="1:3" x14ac:dyDescent="0.3">
      <c r="A2" t="s">
        <v>101</v>
      </c>
      <c r="B2">
        <v>88649</v>
      </c>
      <c r="C2">
        <v>91.89</v>
      </c>
    </row>
    <row r="3" spans="1:3" x14ac:dyDescent="0.3">
      <c r="A3" t="s">
        <v>102</v>
      </c>
      <c r="B3">
        <v>7827</v>
      </c>
      <c r="C3">
        <v>8.11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0058A-BD30-44AA-BA7D-4FA891D65E73}">
  <dimension ref="A1:C3"/>
  <sheetViews>
    <sheetView workbookViewId="0">
      <selection activeCell="H13" sqref="H13"/>
    </sheetView>
  </sheetViews>
  <sheetFormatPr defaultRowHeight="14.4" x14ac:dyDescent="0.3"/>
  <cols>
    <col min="1" max="1" width="12.6640625" bestFit="1" customWidth="1"/>
    <col min="2" max="2" width="14.88671875" bestFit="1" customWidth="1"/>
    <col min="3" max="3" width="10.77734375" bestFit="1" customWidth="1"/>
  </cols>
  <sheetData>
    <row r="1" spans="1:3" x14ac:dyDescent="0.3">
      <c r="A1" t="s">
        <v>103</v>
      </c>
      <c r="B1" t="s">
        <v>104</v>
      </c>
      <c r="C1" t="s">
        <v>1</v>
      </c>
    </row>
    <row r="2" spans="1:3" x14ac:dyDescent="0.3">
      <c r="A2" t="s">
        <v>101</v>
      </c>
      <c r="B2">
        <v>4.29</v>
      </c>
      <c r="C2">
        <v>177314</v>
      </c>
    </row>
    <row r="3" spans="1:3" x14ac:dyDescent="0.3">
      <c r="A3" t="s">
        <v>102</v>
      </c>
      <c r="B3">
        <v>2.57</v>
      </c>
      <c r="C3">
        <v>15402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E5E81-937B-4181-8A06-A47BC2349ABF}">
  <dimension ref="A1:E28"/>
  <sheetViews>
    <sheetView topLeftCell="F1" zoomScale="145" zoomScaleNormal="145" workbookViewId="0">
      <selection activeCell="K3" sqref="K3"/>
    </sheetView>
  </sheetViews>
  <sheetFormatPr defaultRowHeight="14.4" x14ac:dyDescent="0.3"/>
  <cols>
    <col min="1" max="1" width="13.44140625" bestFit="1" customWidth="1"/>
    <col min="2" max="2" width="10.77734375" bestFit="1" customWidth="1"/>
    <col min="3" max="3" width="14.88671875" bestFit="1" customWidth="1"/>
    <col min="4" max="4" width="13.77734375" bestFit="1" customWidth="1"/>
    <col min="5" max="5" width="14.77734375" bestFit="1" customWidth="1"/>
  </cols>
  <sheetData>
    <row r="1" spans="1:5" x14ac:dyDescent="0.3">
      <c r="A1" t="s">
        <v>21</v>
      </c>
      <c r="B1" t="s">
        <v>1</v>
      </c>
      <c r="C1" t="s">
        <v>105</v>
      </c>
      <c r="D1" t="s">
        <v>106</v>
      </c>
      <c r="E1" t="s">
        <v>25</v>
      </c>
    </row>
    <row r="2" spans="1:5" x14ac:dyDescent="0.3">
      <c r="A2" t="s">
        <v>11</v>
      </c>
      <c r="B2" s="2">
        <v>40495</v>
      </c>
      <c r="C2">
        <v>701985.67</v>
      </c>
      <c r="D2">
        <v>15.11</v>
      </c>
      <c r="E2">
        <v>8.66</v>
      </c>
    </row>
    <row r="3" spans="1:5" x14ac:dyDescent="0.3">
      <c r="A3" t="s">
        <v>12</v>
      </c>
      <c r="B3" s="2">
        <v>12353</v>
      </c>
      <c r="C3">
        <v>295789.81</v>
      </c>
      <c r="D3">
        <v>20.91</v>
      </c>
      <c r="E3">
        <v>15.07</v>
      </c>
    </row>
    <row r="4" spans="1:5" x14ac:dyDescent="0.3">
      <c r="A4" t="s">
        <v>13</v>
      </c>
      <c r="B4" s="2">
        <v>11355</v>
      </c>
      <c r="C4">
        <v>266423.94</v>
      </c>
      <c r="D4">
        <v>20.63</v>
      </c>
      <c r="E4">
        <v>11.92</v>
      </c>
    </row>
    <row r="5" spans="1:5" x14ac:dyDescent="0.3">
      <c r="A5" t="s">
        <v>14</v>
      </c>
      <c r="B5" s="2">
        <v>5344</v>
      </c>
      <c r="C5">
        <v>132560.32000000001</v>
      </c>
      <c r="D5">
        <v>21.61</v>
      </c>
      <c r="E5">
        <v>15.13</v>
      </c>
    </row>
    <row r="6" spans="1:5" x14ac:dyDescent="0.3">
      <c r="A6" t="s">
        <v>15</v>
      </c>
      <c r="B6" s="2">
        <v>4923</v>
      </c>
      <c r="C6">
        <v>115645.29</v>
      </c>
      <c r="D6">
        <v>20.47</v>
      </c>
      <c r="E6">
        <v>11.89</v>
      </c>
    </row>
    <row r="7" spans="1:5" x14ac:dyDescent="0.3">
      <c r="A7" t="s">
        <v>16</v>
      </c>
      <c r="B7" s="2">
        <v>3547</v>
      </c>
      <c r="C7">
        <v>88134.16</v>
      </c>
      <c r="D7">
        <v>21.51</v>
      </c>
      <c r="E7">
        <v>14.95</v>
      </c>
    </row>
    <row r="8" spans="1:5" x14ac:dyDescent="0.3">
      <c r="A8" t="s">
        <v>17</v>
      </c>
      <c r="B8" s="2">
        <v>3256</v>
      </c>
      <c r="C8">
        <v>97553.67</v>
      </c>
      <c r="D8">
        <v>26.49</v>
      </c>
      <c r="E8">
        <v>19.190000000000001</v>
      </c>
    </row>
    <row r="9" spans="1:5" x14ac:dyDescent="0.3">
      <c r="A9" t="s">
        <v>18</v>
      </c>
      <c r="B9" s="2">
        <v>2080</v>
      </c>
      <c r="C9">
        <v>49624.94</v>
      </c>
      <c r="D9">
        <v>21.07</v>
      </c>
      <c r="E9">
        <v>12.89</v>
      </c>
    </row>
    <row r="10" spans="1:5" x14ac:dyDescent="0.3">
      <c r="A10" t="s">
        <v>20</v>
      </c>
      <c r="B10" s="2">
        <v>1995</v>
      </c>
      <c r="C10">
        <v>49014.48</v>
      </c>
      <c r="D10">
        <v>22.03</v>
      </c>
      <c r="E10">
        <v>15.59</v>
      </c>
    </row>
    <row r="11" spans="1:5" x14ac:dyDescent="0.3">
      <c r="A11" t="s">
        <v>19</v>
      </c>
      <c r="B11" s="2">
        <v>1957</v>
      </c>
      <c r="C11">
        <v>51375.65</v>
      </c>
      <c r="D11">
        <v>22.56</v>
      </c>
      <c r="E11">
        <v>15.34</v>
      </c>
    </row>
    <row r="12" spans="1:5" x14ac:dyDescent="0.3">
      <c r="A12" t="s">
        <v>96</v>
      </c>
      <c r="B12" s="2">
        <v>1593</v>
      </c>
      <c r="C12">
        <v>57082.559999999998</v>
      </c>
      <c r="D12">
        <v>32.69</v>
      </c>
      <c r="E12">
        <v>18.22</v>
      </c>
    </row>
    <row r="13" spans="1:5" x14ac:dyDescent="0.3">
      <c r="A13" t="s">
        <v>90</v>
      </c>
      <c r="B13" s="2">
        <v>1279</v>
      </c>
      <c r="C13">
        <v>46679.39</v>
      </c>
      <c r="D13">
        <v>32.729999999999997</v>
      </c>
      <c r="E13">
        <v>20.92</v>
      </c>
    </row>
    <row r="14" spans="1:5" x14ac:dyDescent="0.3">
      <c r="A14" t="s">
        <v>87</v>
      </c>
      <c r="B14" s="2">
        <v>946</v>
      </c>
      <c r="C14">
        <v>37552.980000000003</v>
      </c>
      <c r="D14">
        <v>35.630000000000003</v>
      </c>
      <c r="E14">
        <v>23.7</v>
      </c>
    </row>
    <row r="15" spans="1:5" x14ac:dyDescent="0.3">
      <c r="A15" t="s">
        <v>97</v>
      </c>
      <c r="B15" s="2">
        <v>886</v>
      </c>
      <c r="C15">
        <v>29032.799999999999</v>
      </c>
      <c r="D15">
        <v>28</v>
      </c>
      <c r="E15">
        <v>17.91</v>
      </c>
    </row>
    <row r="16" spans="1:5" x14ac:dyDescent="0.3">
      <c r="A16" t="s">
        <v>88</v>
      </c>
      <c r="B16" s="2">
        <v>717</v>
      </c>
      <c r="C16">
        <v>30794.17</v>
      </c>
      <c r="D16">
        <v>38.49</v>
      </c>
      <c r="E16">
        <v>21.59</v>
      </c>
    </row>
    <row r="17" spans="1:5" x14ac:dyDescent="0.3">
      <c r="A17" t="s">
        <v>99</v>
      </c>
      <c r="B17" s="2">
        <v>701</v>
      </c>
      <c r="C17">
        <v>18937.580000000002</v>
      </c>
      <c r="D17">
        <v>23.35</v>
      </c>
      <c r="E17">
        <v>15.46</v>
      </c>
    </row>
    <row r="18" spans="1:5" x14ac:dyDescent="0.3">
      <c r="A18" t="s">
        <v>92</v>
      </c>
      <c r="B18" s="2">
        <v>517</v>
      </c>
      <c r="C18">
        <v>25251.73</v>
      </c>
      <c r="D18">
        <v>43.09</v>
      </c>
      <c r="E18">
        <v>20.55</v>
      </c>
    </row>
    <row r="19" spans="1:5" x14ac:dyDescent="0.3">
      <c r="A19" t="s">
        <v>93</v>
      </c>
      <c r="B19" s="2">
        <v>476</v>
      </c>
      <c r="C19">
        <v>20457.189999999999</v>
      </c>
      <c r="D19">
        <v>39.119999999999997</v>
      </c>
      <c r="E19">
        <v>19.32</v>
      </c>
    </row>
    <row r="20" spans="1:5" x14ac:dyDescent="0.3">
      <c r="A20" t="s">
        <v>95</v>
      </c>
      <c r="B20" s="2">
        <v>474</v>
      </c>
      <c r="C20">
        <v>18609.12</v>
      </c>
      <c r="D20">
        <v>35.72</v>
      </c>
      <c r="E20">
        <v>19.27</v>
      </c>
    </row>
    <row r="21" spans="1:5" x14ac:dyDescent="0.3">
      <c r="A21" t="s">
        <v>86</v>
      </c>
      <c r="B21" s="2">
        <v>397</v>
      </c>
      <c r="C21">
        <v>15316.77</v>
      </c>
      <c r="D21">
        <v>35.869999999999997</v>
      </c>
      <c r="E21">
        <v>24.45</v>
      </c>
    </row>
    <row r="22" spans="1:5" x14ac:dyDescent="0.3">
      <c r="A22" t="s">
        <v>89</v>
      </c>
      <c r="B22" s="2">
        <v>335</v>
      </c>
      <c r="C22">
        <v>13714.94</v>
      </c>
      <c r="D22">
        <v>36.57</v>
      </c>
      <c r="E22">
        <v>21.42</v>
      </c>
    </row>
    <row r="23" spans="1:5" x14ac:dyDescent="0.3">
      <c r="A23" t="s">
        <v>98</v>
      </c>
      <c r="B23" s="2">
        <v>274</v>
      </c>
      <c r="C23">
        <v>11604.86</v>
      </c>
      <c r="D23">
        <v>37.44</v>
      </c>
      <c r="E23">
        <v>17.399999999999999</v>
      </c>
    </row>
    <row r="24" spans="1:5" x14ac:dyDescent="0.3">
      <c r="A24" t="s">
        <v>94</v>
      </c>
      <c r="B24" s="2">
        <v>243</v>
      </c>
      <c r="C24">
        <v>11283.24</v>
      </c>
      <c r="D24">
        <v>41.33</v>
      </c>
      <c r="E24">
        <v>19.66</v>
      </c>
    </row>
    <row r="25" spans="1:5" x14ac:dyDescent="0.3">
      <c r="A25" t="s">
        <v>85</v>
      </c>
      <c r="B25" s="2">
        <v>145</v>
      </c>
      <c r="C25">
        <v>5429.63</v>
      </c>
      <c r="D25">
        <v>33.31</v>
      </c>
      <c r="E25">
        <v>26.34</v>
      </c>
    </row>
    <row r="26" spans="1:5" x14ac:dyDescent="0.3">
      <c r="A26" t="s">
        <v>91</v>
      </c>
      <c r="B26" s="2">
        <v>80</v>
      </c>
      <c r="C26">
        <v>3644.36</v>
      </c>
      <c r="D26">
        <v>40.049999999999997</v>
      </c>
      <c r="E26">
        <v>20.68</v>
      </c>
    </row>
    <row r="27" spans="1:5" x14ac:dyDescent="0.3">
      <c r="A27" t="s">
        <v>84</v>
      </c>
      <c r="B27" s="2">
        <v>67</v>
      </c>
      <c r="C27">
        <v>2767</v>
      </c>
      <c r="D27">
        <v>34.159999999999997</v>
      </c>
      <c r="E27">
        <v>28.22</v>
      </c>
    </row>
    <row r="28" spans="1:5" x14ac:dyDescent="0.3">
      <c r="A28" t="s">
        <v>83</v>
      </c>
      <c r="B28" s="2">
        <v>41</v>
      </c>
      <c r="C28">
        <v>1982.05</v>
      </c>
      <c r="D28">
        <v>43.09</v>
      </c>
      <c r="E28">
        <v>28.17</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70211-A776-4DE7-A536-663174152315}">
  <dimension ref="A1"/>
  <sheetViews>
    <sheetView showGridLines="0" tabSelected="1" zoomScale="70" zoomScaleNormal="70" workbookViewId="0">
      <selection activeCell="Z18" sqref="Z18"/>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1A</vt:lpstr>
      <vt:lpstr>1B</vt:lpstr>
      <vt:lpstr>1C</vt:lpstr>
      <vt:lpstr>1D</vt:lpstr>
      <vt:lpstr>1E</vt:lpstr>
      <vt:lpstr>Dashboard 1</vt:lpstr>
      <vt:lpstr>2A</vt:lpstr>
      <vt:lpstr>2B</vt:lpstr>
      <vt:lpstr>2C</vt:lpstr>
      <vt:lpstr>2D</vt:lpstr>
      <vt:lpstr>2E</vt:lpstr>
      <vt:lpstr>Dashboard 2</vt:lpstr>
      <vt:lpstr>3A</vt:lpstr>
      <vt:lpstr>3B</vt:lpstr>
      <vt:lpstr>3C</vt:lpstr>
      <vt:lpstr>3D</vt:lpstr>
      <vt:lpstr>Dashboard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Laurence John Pagatpat</dc:creator>
  <cp:lastModifiedBy>Laurence John Pagatpat</cp:lastModifiedBy>
  <dcterms:created xsi:type="dcterms:W3CDTF">2026-04-24T17:56:46Z</dcterms:created>
  <dcterms:modified xsi:type="dcterms:W3CDTF">2026-04-27T12:16:44Z</dcterms:modified>
</cp:coreProperties>
</file>